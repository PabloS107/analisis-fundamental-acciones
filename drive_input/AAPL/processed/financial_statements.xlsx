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8" activeTab="8" autoFilterDateGrouping="1"/>
  </bookViews>
  <sheets>
    <sheet xmlns:r="http://schemas.openxmlformats.org/officeDocument/2006/relationships" name="Resumen Fundamental" sheetId="1" state="visible" r:id="rId1"/>
    <sheet xmlns:r="http://schemas.openxmlformats.org/officeDocument/2006/relationships" name="Ratios Financieros" sheetId="2" state="visible" r:id="rId2"/>
    <sheet xmlns:r="http://schemas.openxmlformats.org/officeDocument/2006/relationships" name="Cuenta de Resultados" sheetId="3" state="visible" r:id="rId3"/>
    <sheet xmlns:r="http://schemas.openxmlformats.org/officeDocument/2006/relationships" name="Balance Patrimonial" sheetId="4" state="visible" r:id="rId4"/>
    <sheet xmlns:r="http://schemas.openxmlformats.org/officeDocument/2006/relationships" name="Flujo de Caja" sheetId="5" state="visible" r:id="rId5"/>
    <sheet xmlns:r="http://schemas.openxmlformats.org/officeDocument/2006/relationships" name="Desglose de Segmentos" sheetId="6" state="visible" r:id="rId6"/>
    <sheet xmlns:r="http://schemas.openxmlformats.org/officeDocument/2006/relationships" name="Scores Fundamentales" sheetId="7" state="visible" r:id="rId7"/>
    <sheet xmlns:r="http://schemas.openxmlformats.org/officeDocument/2006/relationships" name="Peer Group &amp; Medianas" sheetId="8" state="visible" r:id="rId8"/>
    <sheet xmlns:r="http://schemas.openxmlformats.org/officeDocument/2006/relationships" name="Auditoría Forense &amp; Devengos" sheetId="9" state="visible" r:id="rId9"/>
    <sheet xmlns:r="http://schemas.openxmlformats.org/officeDocument/2006/relationships" name="Solvencia &amp; Estrés Financiero" sheetId="10" state="visible" r:id="rId10"/>
    <sheet xmlns:r="http://schemas.openxmlformats.org/officeDocument/2006/relationships" name="Conciliación &amp; Fuentes" sheetId="11" state="visible" r:id="rId11"/>
  </sheets>
  <definedNames/>
  <calcPr calcId="191029" fullCalcOnLoad="1"/>
</workbook>
</file>

<file path=xl/styles.xml><?xml version="1.0" encoding="utf-8"?>
<styleSheet xmlns="http://schemas.openxmlformats.org/spreadsheetml/2006/main">
  <numFmts count="13">
    <numFmt numFmtId="164" formatCode="\$#,##0.0;\(\$#,##0.0\);&quot;-&quot;"/>
    <numFmt numFmtId="165" formatCode="\$#,##0.00;\(\$#,##0.00\);&quot;-&quot;"/>
    <numFmt numFmtId="166" formatCode="#,##0.0;\(#,##0.0\);&quot;-&quot;"/>
    <numFmt numFmtId="167" formatCode="0.00&quot;x&quot;"/>
    <numFmt numFmtId="168" formatCode="\+0.00%;\-0.00%;0.00%"/>
    <numFmt numFmtId="169" formatCode="0.0&quot;d&quot;"/>
    <numFmt numFmtId="170" formatCode="\+0.0&quot;d&quot;;\-0.0&quot;d&quot;;&quot;0.0d&quot;"/>
    <numFmt numFmtId="171" formatCode="0.0000"/>
    <numFmt numFmtId="172" formatCode="$#,##0.0;($#,##0.0);&quot;-&quot;"/>
    <numFmt numFmtId="173" formatCode="$#,##0.00;($#,##0.00);&quot;-&quot;"/>
    <numFmt numFmtId="174" formatCode="#,##0.0;(#,##0.0);&quot;-&quot;"/>
    <numFmt numFmtId="175" formatCode="+0.00%;-0.00%;0.00%"/>
    <numFmt numFmtId="176" formatCode="+0.0&quot;d&quot;;-0.0&quot;d&quot;;&quot;0.0d&quot;"/>
  </numFmts>
  <fonts count="21">
    <font>
      <name val="Calibri"/>
      <family val="2"/>
      <color theme="1"/>
      <sz val="11"/>
      <scheme val="minor"/>
    </font>
    <font>
      <name val="Calibri"/>
      <b val="1"/>
      <color rgb="FF1B365D"/>
      <sz val="14"/>
    </font>
    <font>
      <name val="Calibri"/>
      <i val="1"/>
      <color rgb="FF595959"/>
      <sz val="10"/>
    </font>
    <font>
      <name val="Calibri"/>
      <b val="1"/>
      <color rgb="FFFFFFFF"/>
      <sz val="11"/>
    </font>
    <font>
      <name val="Calibri"/>
      <b val="1"/>
      <color rgb="FFFFD700"/>
      <sz val="11"/>
    </font>
    <font>
      <name val="Calibri"/>
      <color rgb="FF000000"/>
      <sz val="11"/>
    </font>
    <font>
      <name val="Calibri"/>
      <b val="1"/>
      <color rgb="FF000000"/>
      <sz val="11"/>
    </font>
    <font>
      <name val="Calibri"/>
      <b val="1"/>
      <color rgb="FF1B365D"/>
      <sz val="11"/>
    </font>
    <font>
      <name val="Calibri"/>
      <b val="1"/>
      <color rgb="FF1B365D"/>
      <sz val="12"/>
    </font>
    <font>
      <name val="Calibri"/>
      <b val="1"/>
      <color rgb="FF276A3C"/>
      <sz val="11"/>
    </font>
    <font>
      <name val="Calibri"/>
      <b val="1"/>
      <color rgb="FFC00000"/>
      <sz val="11"/>
    </font>
    <font>
      <name val="Calibri"/>
      <b val="1"/>
      <color rgb="001B365D"/>
      <sz val="14"/>
    </font>
    <font>
      <name val="Calibri"/>
      <i val="1"/>
      <color rgb="00595959"/>
      <sz val="10"/>
    </font>
    <font>
      <name val="Calibri"/>
      <b val="1"/>
      <color rgb="00FFFFFF"/>
      <sz val="11"/>
    </font>
    <font>
      <name val="Calibri"/>
      <b val="1"/>
      <color rgb="00FFD700"/>
      <sz val="11"/>
    </font>
    <font>
      <name val="Calibri"/>
      <color rgb="00000000"/>
      <sz val="11"/>
    </font>
    <font>
      <name val="Calibri"/>
      <b val="1"/>
      <color rgb="00000000"/>
      <sz val="11"/>
    </font>
    <font>
      <name val="Calibri"/>
      <b val="1"/>
      <color rgb="001B365D"/>
      <sz val="11"/>
    </font>
    <font>
      <name val="Calibri"/>
      <b val="1"/>
      <color rgb="001B365D"/>
      <sz val="12"/>
    </font>
    <font>
      <name val="Calibri"/>
      <b val="1"/>
      <color rgb="00276A3C"/>
      <sz val="11"/>
    </font>
    <font>
      <name val="Calibri"/>
      <b val="1"/>
      <color rgb="00C00000"/>
      <sz val="11"/>
    </font>
  </fonts>
  <fills count="16">
    <fill>
      <patternFill/>
    </fill>
    <fill>
      <patternFill patternType="gray125"/>
    </fill>
    <fill>
      <patternFill patternType="solid">
        <fgColor rgb="FF1B365D"/>
        <bgColor rgb="FF1B365D"/>
      </patternFill>
    </fill>
    <fill>
      <patternFill patternType="solid">
        <fgColor rgb="FF0A3641"/>
        <bgColor rgb="FF0A3641"/>
      </patternFill>
    </fill>
    <fill>
      <patternFill patternType="solid">
        <fgColor rgb="FFF0F4F9"/>
        <bgColor rgb="FFF0F4F9"/>
      </patternFill>
    </fill>
    <fill>
      <patternFill patternType="solid">
        <fgColor rgb="FFE2EFDA"/>
        <bgColor rgb="FFE2EFDA"/>
      </patternFill>
    </fill>
    <fill>
      <patternFill patternType="solid">
        <fgColor rgb="FFE8EEF5"/>
        <bgColor rgb="FFE8EEF5"/>
      </patternFill>
    </fill>
    <fill>
      <patternFill patternType="solid">
        <fgColor rgb="FFFCE4D6"/>
        <bgColor rgb="FFFCE4D6"/>
      </patternFill>
    </fill>
    <fill>
      <patternFill patternType="solid">
        <fgColor rgb="FFFFF2CC"/>
        <bgColor rgb="FFFFF2CC"/>
      </patternFill>
    </fill>
    <fill>
      <patternFill patternType="solid">
        <fgColor rgb="001B365D"/>
        <bgColor rgb="001B365D"/>
      </patternFill>
    </fill>
    <fill>
      <patternFill patternType="solid">
        <fgColor rgb="000A3641"/>
        <bgColor rgb="000A3641"/>
      </patternFill>
    </fill>
    <fill>
      <patternFill patternType="solid">
        <fgColor rgb="00F0F4F9"/>
        <bgColor rgb="00F0F4F9"/>
      </patternFill>
    </fill>
    <fill>
      <patternFill patternType="solid">
        <fgColor rgb="00E2EFDA"/>
        <bgColor rgb="00E2EFDA"/>
      </patternFill>
    </fill>
    <fill>
      <patternFill patternType="solid">
        <fgColor rgb="00E8EEF5"/>
        <bgColor rgb="00E8EEF5"/>
      </patternFill>
    </fill>
    <fill>
      <patternFill patternType="solid">
        <fgColor rgb="00FCE4D6"/>
        <bgColor rgb="00FCE4D6"/>
      </patternFill>
    </fill>
    <fill>
      <patternFill patternType="solid">
        <fgColor rgb="00FFF2CC"/>
        <bgColor rgb="00FFF2CC"/>
      </patternFill>
    </fill>
  </fills>
  <borders count="15">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000000"/>
      </top>
      <bottom style="thin">
        <color rgb="FF000000"/>
      </bottom>
      <diagonal/>
    </border>
    <border>
      <left style="thin">
        <color rgb="FFD9D9D9"/>
      </left>
      <right style="thin">
        <color rgb="FFD9D9D9"/>
      </right>
      <top style="thin">
        <color rgb="FF000000"/>
      </top>
      <bottom style="double">
        <color rgb="FF000000"/>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000000"/>
      </top>
      <bottom style="thin">
        <color rgb="00000000"/>
      </bottom>
    </border>
    <border>
      <left style="thin">
        <color rgb="00D9D9D9"/>
      </left>
      <right style="thin">
        <color rgb="00D9D9D9"/>
      </right>
      <top style="thin">
        <color rgb="00000000"/>
      </top>
      <bottom style="double">
        <color rgb="00000000"/>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2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4" fillId="3" borderId="0" applyAlignment="1" pivotButton="0" quotePrefix="0" xfId="0">
      <alignment horizontal="center" vertical="center"/>
    </xf>
    <xf numFmtId="0" fontId="3" fillId="2" borderId="0" applyAlignment="1" pivotButton="0" quotePrefix="0" xfId="0">
      <alignment horizontal="center" vertical="center"/>
    </xf>
    <xf numFmtId="0" fontId="5" fillId="0" borderId="1" pivotButton="0" quotePrefix="0" xfId="0"/>
    <xf numFmtId="164" fontId="5" fillId="0" borderId="1" pivotButton="0" quotePrefix="0" xfId="0"/>
    <xf numFmtId="0" fontId="6" fillId="4" borderId="2" pivotButton="0" quotePrefix="0" xfId="0"/>
    <xf numFmtId="164" fontId="6" fillId="4" borderId="2" pivotButton="0" quotePrefix="0" xfId="0"/>
    <xf numFmtId="0" fontId="6" fillId="5" borderId="2" pivotButton="0" quotePrefix="0" xfId="0"/>
    <xf numFmtId="164" fontId="6" fillId="5" borderId="2" pivotButton="0" quotePrefix="0" xfId="0"/>
    <xf numFmtId="0" fontId="6" fillId="0" borderId="2" pivotButton="0" quotePrefix="0" xfId="0"/>
    <xf numFmtId="164" fontId="6" fillId="0" borderId="2" pivotButton="0" quotePrefix="0" xfId="0"/>
    <xf numFmtId="165" fontId="6" fillId="4" borderId="2" pivotButton="0" quotePrefix="0" xfId="0"/>
    <xf numFmtId="165" fontId="5" fillId="0" borderId="1" pivotButton="0" quotePrefix="0" xfId="0"/>
    <xf numFmtId="166" fontId="6" fillId="0" borderId="2" pivotButton="0" quotePrefix="0" xfId="0"/>
    <xf numFmtId="166" fontId="5" fillId="0" borderId="1" pivotButton="0" quotePrefix="0" xfId="0"/>
    <xf numFmtId="0" fontId="7" fillId="6" borderId="0" pivotButton="0" quotePrefix="0" xfId="0"/>
    <xf numFmtId="0" fontId="0" fillId="6" borderId="0" pivotButton="0" quotePrefix="0" xfId="0"/>
    <xf numFmtId="10"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center"/>
    </xf>
    <xf numFmtId="0" fontId="6" fillId="4" borderId="3" pivotButton="0" quotePrefix="0" xfId="0"/>
    <xf numFmtId="164" fontId="6" fillId="4" borderId="3" pivotButton="0" quotePrefix="0" xfId="0"/>
    <xf numFmtId="0" fontId="6" fillId="0" borderId="2" applyAlignment="1" pivotButton="0" quotePrefix="0" xfId="0">
      <alignment horizontal="center"/>
    </xf>
    <xf numFmtId="0" fontId="6" fillId="4" borderId="2" applyAlignment="1" pivotButton="0" quotePrefix="0" xfId="0">
      <alignment horizontal="center"/>
    </xf>
    <xf numFmtId="0" fontId="6" fillId="6" borderId="0" pivotButton="0" quotePrefix="0" xfId="0"/>
    <xf numFmtId="0" fontId="6" fillId="0" borderId="0" pivotButton="0" quotePrefix="0" xfId="0"/>
    <xf numFmtId="0" fontId="8" fillId="0" borderId="0" pivotButton="0" quotePrefix="0" xfId="0"/>
    <xf numFmtId="0" fontId="2" fillId="0" borderId="1" pivotButton="0" quotePrefix="0" xfId="0"/>
    <xf numFmtId="0" fontId="9" fillId="5" borderId="1" applyAlignment="1" pivotButton="0" quotePrefix="0" xfId="0">
      <alignment horizontal="center" vertical="center" wrapText="1"/>
    </xf>
    <xf numFmtId="0" fontId="10" fillId="7" borderId="1" applyAlignment="1" pivotButton="0" quotePrefix="0" xfId="0">
      <alignment horizontal="center" vertical="center" wrapText="1"/>
    </xf>
    <xf numFmtId="0" fontId="8" fillId="5" borderId="2" applyAlignment="1" pivotButton="0" quotePrefix="0" xfId="0">
      <alignment horizontal="center" vertical="center"/>
    </xf>
    <xf numFmtId="0" fontId="8" fillId="8" borderId="2" applyAlignment="1" pivotButton="0" quotePrefix="0" xfId="0">
      <alignment horizontal="center" vertical="center"/>
    </xf>
    <xf numFmtId="0" fontId="8" fillId="7" borderId="2" applyAlignment="1" pivotButton="0" quotePrefix="0" xfId="0">
      <alignment horizontal="center" vertical="center"/>
    </xf>
    <xf numFmtId="0" fontId="6" fillId="0" borderId="1" applyAlignment="1" pivotButton="0" quotePrefix="0" xfId="0">
      <alignment horizontal="center" vertical="center"/>
    </xf>
    <xf numFmtId="0" fontId="6" fillId="0" borderId="1" pivotButton="0" quotePrefix="0" xfId="0"/>
    <xf numFmtId="10" fontId="5" fillId="5" borderId="1" applyAlignment="1" pivotButton="0" quotePrefix="0" xfId="0">
      <alignment horizontal="right" vertical="center"/>
    </xf>
    <xf numFmtId="168" fontId="6" fillId="0" borderId="1" applyAlignment="1" pivotButton="0" quotePrefix="0" xfId="0">
      <alignment horizontal="right" vertical="center"/>
    </xf>
    <xf numFmtId="10" fontId="6" fillId="5" borderId="1" applyAlignment="1" pivotButton="0" quotePrefix="0" xfId="0">
      <alignment horizontal="right" vertical="center"/>
    </xf>
    <xf numFmtId="10" fontId="6" fillId="0" borderId="1" applyAlignment="1" pivotButton="0" quotePrefix="0" xfId="0">
      <alignment horizontal="right" vertical="center"/>
    </xf>
    <xf numFmtId="164" fontId="5" fillId="0" borderId="1" applyAlignment="1" pivotButton="0" quotePrefix="0" xfId="0">
      <alignment horizontal="right" vertical="center"/>
    </xf>
    <xf numFmtId="168" fontId="6" fillId="5" borderId="1" applyAlignment="1" pivotButton="0" quotePrefix="0" xfId="0">
      <alignment horizontal="right" vertical="center"/>
    </xf>
    <xf numFmtId="0" fontId="8" fillId="0" borderId="1" pivotButton="0" quotePrefix="0" xfId="0"/>
    <xf numFmtId="0" fontId="2" fillId="6" borderId="0" pivotButton="0" quotePrefix="0" xfId="0"/>
    <xf numFmtId="0" fontId="3" fillId="2" borderId="0" applyAlignment="1" pivotButton="0" quotePrefix="0" xfId="0">
      <alignment horizontal="center" vertical="center" wrapText="1"/>
    </xf>
    <xf numFmtId="0" fontId="6" fillId="6" borderId="1" applyAlignment="1" pivotButton="0" quotePrefix="0" xfId="0">
      <alignment horizontal="center" vertical="center"/>
    </xf>
    <xf numFmtId="0" fontId="6" fillId="6" borderId="1" applyAlignment="1" pivotButton="0" quotePrefix="0" xfId="0">
      <alignment horizontal="left" vertical="center"/>
    </xf>
    <xf numFmtId="164" fontId="6" fillId="6" borderId="1" applyAlignment="1" pivotButton="0" quotePrefix="0" xfId="0">
      <alignment horizontal="right" vertical="center"/>
    </xf>
    <xf numFmtId="10" fontId="6" fillId="6" borderId="1" applyAlignment="1" pivotButton="0" quotePrefix="0" xfId="0">
      <alignment horizontal="right" vertical="center"/>
    </xf>
    <xf numFmtId="168" fontId="6" fillId="6" borderId="1" applyAlignment="1" pivotButton="0" quotePrefix="0" xfId="0">
      <alignment horizontal="right"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168" fontId="5" fillId="0" borderId="1" applyAlignment="1" pivotButton="0" quotePrefix="0" xfId="0">
      <alignment horizontal="right" vertical="center"/>
    </xf>
    <xf numFmtId="0" fontId="6" fillId="5" borderId="2" applyAlignment="1" pivotButton="0" quotePrefix="0" xfId="0">
      <alignment horizontal="center" vertical="center"/>
    </xf>
    <xf numFmtId="0" fontId="6" fillId="5" borderId="2" applyAlignment="1" pivotButton="0" quotePrefix="0" xfId="0">
      <alignment horizontal="left" vertical="center"/>
    </xf>
    <xf numFmtId="164" fontId="6" fillId="5" borderId="2" applyAlignment="1" pivotButton="0" quotePrefix="0" xfId="0">
      <alignment horizontal="right" vertical="center"/>
    </xf>
    <xf numFmtId="10" fontId="6" fillId="5" borderId="2" applyAlignment="1" pivotButton="0" quotePrefix="0" xfId="0">
      <alignment horizontal="right" vertical="center"/>
    </xf>
    <xf numFmtId="168" fontId="6" fillId="5" borderId="2"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0" fontId="6" fillId="8" borderId="1" applyAlignment="1" pivotButton="0" quotePrefix="0" xfId="0">
      <alignment horizontal="center" vertical="center"/>
    </xf>
    <xf numFmtId="0" fontId="6" fillId="8" borderId="1" applyAlignment="1" pivotButton="0" quotePrefix="0" xfId="0">
      <alignment horizontal="left" vertical="center"/>
    </xf>
    <xf numFmtId="164" fontId="6" fillId="8" borderId="1" applyAlignment="1" pivotButton="0" quotePrefix="0" xfId="0">
      <alignment horizontal="right" vertical="center"/>
    </xf>
    <xf numFmtId="10" fontId="6" fillId="8" borderId="1" applyAlignment="1" pivotButton="0" quotePrefix="0" xfId="0">
      <alignment horizontal="right" vertical="center"/>
    </xf>
    <xf numFmtId="168" fontId="6" fillId="8" borderId="1" applyAlignment="1" pivotButton="0" quotePrefix="0" xfId="0">
      <alignment horizontal="right" vertical="center"/>
    </xf>
    <xf numFmtId="0" fontId="6" fillId="6" borderId="3" applyAlignment="1" pivotButton="0" quotePrefix="0" xfId="0">
      <alignment horizontal="center" vertical="center"/>
    </xf>
    <xf numFmtId="0" fontId="6" fillId="6" borderId="3" applyAlignment="1" pivotButton="0" quotePrefix="0" xfId="0">
      <alignment horizontal="left" vertical="center"/>
    </xf>
    <xf numFmtId="1" fontId="6" fillId="6" borderId="3" applyAlignment="1" pivotButton="0" quotePrefix="0" xfId="0">
      <alignment horizontal="right" vertical="center"/>
    </xf>
    <xf numFmtId="0" fontId="3" fillId="2" borderId="0" applyAlignment="1" pivotButton="0" quotePrefix="0" xfId="0">
      <alignment horizontal="right" vertical="center"/>
    </xf>
    <xf numFmtId="0" fontId="5" fillId="0" borderId="1" applyAlignment="1" pivotButton="0" quotePrefix="0" xfId="0">
      <alignment horizontal="right" vertical="center"/>
    </xf>
    <xf numFmtId="0" fontId="9" fillId="5" borderId="1" applyAlignment="1" pivotButton="0" quotePrefix="0" xfId="0">
      <alignment horizontal="center" vertical="center"/>
    </xf>
    <xf numFmtId="0" fontId="2" fillId="0" borderId="1" applyAlignment="1" pivotButton="0" quotePrefix="0" xfId="0">
      <alignment horizontal="center" vertical="center"/>
    </xf>
    <xf numFmtId="164" fontId="0" fillId="0" borderId="1" applyAlignment="1" pivotButton="0" quotePrefix="0" xfId="0">
      <alignment horizontal="right" vertical="center"/>
    </xf>
    <xf numFmtId="164" fontId="0" fillId="0" borderId="2" applyAlignment="1" pivotButton="0" quotePrefix="0" xfId="0">
      <alignment horizontal="right" vertical="center"/>
    </xf>
    <xf numFmtId="10" fontId="9" fillId="5" borderId="3" applyAlignment="1" pivotButton="0" quotePrefix="0" xfId="0">
      <alignment horizontal="right" vertical="center"/>
    </xf>
    <xf numFmtId="10" fontId="6" fillId="4" borderId="3" applyAlignment="1" pivotButton="0" quotePrefix="0" xfId="0">
      <alignment horizontal="right" vertical="center"/>
    </xf>
    <xf numFmtId="0" fontId="0" fillId="0" borderId="1" applyAlignment="1" pivotButton="0" quotePrefix="0" xfId="0">
      <alignment horizontal="right" vertical="center"/>
    </xf>
    <xf numFmtId="10" fontId="9" fillId="5" borderId="1" applyAlignment="1" pivotButton="0" quotePrefix="0" xfId="0">
      <alignment horizontal="right" vertical="center"/>
    </xf>
    <xf numFmtId="169" fontId="0" fillId="0" borderId="1" applyAlignment="1" pivotButton="0" quotePrefix="0" xfId="0">
      <alignment horizontal="right" vertical="center"/>
    </xf>
    <xf numFmtId="170" fontId="0" fillId="0" borderId="1" applyAlignment="1" pivotButton="0" quotePrefix="0" xfId="0">
      <alignment horizontal="right" vertical="center"/>
    </xf>
    <xf numFmtId="0" fontId="2" fillId="0" borderId="1" applyAlignment="1" pivotButton="0" quotePrefix="0" xfId="0">
      <alignment horizontal="left" vertical="center"/>
    </xf>
    <xf numFmtId="0" fontId="10" fillId="7" borderId="1" applyAlignment="1" pivotButton="0" quotePrefix="0" xfId="0">
      <alignment horizontal="center" vertical="center"/>
    </xf>
    <xf numFmtId="0" fontId="6" fillId="0" borderId="3" pivotButton="0" quotePrefix="0" xfId="0"/>
    <xf numFmtId="0" fontId="6" fillId="0" borderId="3" applyAlignment="1" pivotButton="0" quotePrefix="0" xfId="0">
      <alignment horizontal="center" vertical="center"/>
    </xf>
    <xf numFmtId="0" fontId="9" fillId="5" borderId="3" applyAlignment="1" pivotButton="0" quotePrefix="0" xfId="0">
      <alignment horizontal="center" vertical="center"/>
    </xf>
    <xf numFmtId="0" fontId="6" fillId="8" borderId="3" applyAlignment="1" pivotButton="0" quotePrefix="0" xfId="0">
      <alignment horizontal="center" vertical="center"/>
    </xf>
    <xf numFmtId="0" fontId="10" fillId="7" borderId="3" applyAlignment="1" pivotButton="0" quotePrefix="0" xfId="0">
      <alignment horizontal="center" vertical="center"/>
    </xf>
    <xf numFmtId="168" fontId="0" fillId="0" borderId="1" applyAlignment="1" pivotButton="0" quotePrefix="0" xfId="0">
      <alignment horizontal="right" vertical="center"/>
    </xf>
    <xf numFmtId="168" fontId="9" fillId="5" borderId="1" applyAlignment="1" pivotButton="0" quotePrefix="0" xfId="0">
      <alignment horizontal="right" vertical="center"/>
    </xf>
    <xf numFmtId="168" fontId="10" fillId="7" borderId="1" applyAlignment="1" pivotButton="0" quotePrefix="0" xfId="0">
      <alignment horizontal="right" vertical="center"/>
    </xf>
    <xf numFmtId="0" fontId="2" fillId="0" borderId="2" pivotButton="0" quotePrefix="0" xfId="0"/>
    <xf numFmtId="0" fontId="2" fillId="0" borderId="2" applyAlignment="1" pivotButton="0" quotePrefix="0" xfId="0">
      <alignment horizontal="center" vertical="center"/>
    </xf>
    <xf numFmtId="164" fontId="6" fillId="0" borderId="2" applyAlignment="1" pivotButton="0" quotePrefix="0" xfId="0">
      <alignment horizontal="right" vertical="center"/>
    </xf>
    <xf numFmtId="0" fontId="2" fillId="0" borderId="3" pivotButton="0" quotePrefix="0" xfId="0"/>
    <xf numFmtId="0" fontId="2" fillId="0" borderId="3" applyAlignment="1" pivotButton="0" quotePrefix="0" xfId="0">
      <alignment horizontal="center" vertical="center"/>
    </xf>
    <xf numFmtId="167" fontId="6" fillId="0" borderId="3" applyAlignment="1" pivotButton="0" quotePrefix="0" xfId="0">
      <alignment horizontal="right" vertical="center"/>
    </xf>
    <xf numFmtId="167" fontId="6" fillId="0" borderId="2" applyAlignment="1" pivotButton="0" quotePrefix="0" xfId="0">
      <alignment horizontal="right" vertical="center"/>
    </xf>
    <xf numFmtId="10" fontId="6" fillId="0" borderId="3" applyAlignment="1" pivotButton="0" quotePrefix="0" xfId="0">
      <alignment horizontal="right" vertical="center"/>
    </xf>
    <xf numFmtId="171" fontId="5" fillId="0" borderId="1" applyAlignment="1" pivotButton="0" quotePrefix="0" xfId="0">
      <alignment horizontal="right" vertical="center"/>
    </xf>
    <xf numFmtId="2" fontId="6" fillId="0" borderId="3" applyAlignment="1" pivotButton="0" quotePrefix="0" xfId="0">
      <alignment horizontal="right" vertical="center"/>
    </xf>
    <xf numFmtId="0" fontId="5" fillId="0" borderId="1" applyAlignment="1" pivotButton="0" quotePrefix="0" xfId="0">
      <alignment horizontal="left" vertical="center"/>
    </xf>
    <xf numFmtId="0" fontId="0" fillId="0" borderId="1" pivotButton="0" quotePrefix="0" xfId="0"/>
    <xf numFmtId="0" fontId="2" fillId="0" borderId="0" applyAlignment="1" pivotButton="0" quotePrefix="0" xfId="0">
      <alignment horizontal="left" vertical="center" wrapText="1"/>
    </xf>
    <xf numFmtId="0" fontId="0" fillId="0" borderId="0" pivotButton="0" quotePrefix="0" xfId="0"/>
    <xf numFmtId="0" fontId="6" fillId="0" borderId="1" applyAlignment="1" pivotButton="0" quotePrefix="0" xfId="0">
      <alignment horizontal="left" vertical="center" wrapText="1"/>
    </xf>
    <xf numFmtId="0" fontId="11" fillId="0" borderId="0" pivotButton="0" quotePrefix="0" xfId="0"/>
    <xf numFmtId="0" fontId="12" fillId="0" borderId="0" pivotButton="0" quotePrefix="0" xfId="0"/>
    <xf numFmtId="0" fontId="13" fillId="9" borderId="0" applyAlignment="1" pivotButton="0" quotePrefix="0" xfId="0">
      <alignment horizontal="left" vertical="center"/>
    </xf>
    <xf numFmtId="0" fontId="14" fillId="10" borderId="0" applyAlignment="1" pivotButton="0" quotePrefix="0" xfId="0">
      <alignment horizontal="center" vertical="center"/>
    </xf>
    <xf numFmtId="0" fontId="13" fillId="9" borderId="0" applyAlignment="1" pivotButton="0" quotePrefix="0" xfId="0">
      <alignment horizontal="center" vertical="center"/>
    </xf>
    <xf numFmtId="0" fontId="15" fillId="0" borderId="8" pivotButton="0" quotePrefix="0" xfId="0"/>
    <xf numFmtId="172" fontId="15" fillId="0" borderId="8" pivotButton="0" quotePrefix="0" xfId="0"/>
    <xf numFmtId="0" fontId="16" fillId="11" borderId="9" pivotButton="0" quotePrefix="0" xfId="0"/>
    <xf numFmtId="172" fontId="16" fillId="11" borderId="9" pivotButton="0" quotePrefix="0" xfId="0"/>
    <xf numFmtId="0" fontId="16" fillId="12" borderId="9" pivotButton="0" quotePrefix="0" xfId="0"/>
    <xf numFmtId="172" fontId="16" fillId="12" borderId="9" pivotButton="0" quotePrefix="0" xfId="0"/>
    <xf numFmtId="0" fontId="16" fillId="0" borderId="9" pivotButton="0" quotePrefix="0" xfId="0"/>
    <xf numFmtId="172" fontId="16" fillId="0" borderId="9" pivotButton="0" quotePrefix="0" xfId="0"/>
    <xf numFmtId="173" fontId="16" fillId="11" borderId="9" pivotButton="0" quotePrefix="0" xfId="0"/>
    <xf numFmtId="173" fontId="15" fillId="0" borderId="8" pivotButton="0" quotePrefix="0" xfId="0"/>
    <xf numFmtId="174" fontId="16" fillId="0" borderId="9" pivotButton="0" quotePrefix="0" xfId="0"/>
    <xf numFmtId="174" fontId="15" fillId="0" borderId="8" pivotButton="0" quotePrefix="0" xfId="0"/>
    <xf numFmtId="0" fontId="17" fillId="13" borderId="0" pivotButton="0" quotePrefix="0" xfId="0"/>
    <xf numFmtId="0" fontId="0" fillId="13" borderId="0" pivotButton="0" quotePrefix="0" xfId="0"/>
    <xf numFmtId="10" fontId="15" fillId="0" borderId="8" applyAlignment="1" pivotButton="0" quotePrefix="0" xfId="0">
      <alignment horizontal="right" vertical="center"/>
    </xf>
    <xf numFmtId="167" fontId="15" fillId="0" borderId="8" applyAlignment="1" pivotButton="0" quotePrefix="0" xfId="0">
      <alignment horizontal="right" vertical="center"/>
    </xf>
    <xf numFmtId="0" fontId="16" fillId="13" borderId="0" pivotButton="0" quotePrefix="0" xfId="0"/>
    <xf numFmtId="0" fontId="16" fillId="0" borderId="0" pivotButton="0" quotePrefix="0" xfId="0"/>
    <xf numFmtId="0" fontId="18" fillId="0" borderId="0" pivotButton="0" quotePrefix="0" xfId="0"/>
    <xf numFmtId="0" fontId="12" fillId="0" borderId="8" pivotButton="0" quotePrefix="0" xfId="0"/>
    <xf numFmtId="0" fontId="19" fillId="12" borderId="8" applyAlignment="1" pivotButton="0" quotePrefix="0" xfId="0">
      <alignment horizontal="center" vertical="center" wrapText="1"/>
    </xf>
    <xf numFmtId="0" fontId="20" fillId="14" borderId="8" applyAlignment="1" pivotButton="0" quotePrefix="0" xfId="0">
      <alignment horizontal="center" vertical="center" wrapText="1"/>
    </xf>
    <xf numFmtId="0" fontId="18" fillId="12" borderId="9" applyAlignment="1" pivotButton="0" quotePrefix="0" xfId="0">
      <alignment horizontal="center" vertical="center"/>
    </xf>
    <xf numFmtId="0" fontId="18" fillId="15" borderId="9" applyAlignment="1" pivotButton="0" quotePrefix="0" xfId="0">
      <alignment horizontal="center" vertical="center"/>
    </xf>
    <xf numFmtId="0" fontId="18" fillId="14" borderId="9" applyAlignment="1" pivotButton="0" quotePrefix="0" xfId="0">
      <alignment horizontal="center" vertical="center"/>
    </xf>
    <xf numFmtId="0" fontId="16" fillId="0" borderId="8" applyAlignment="1" pivotButton="0" quotePrefix="0" xfId="0">
      <alignment horizontal="center" vertical="center"/>
    </xf>
    <xf numFmtId="0" fontId="16" fillId="0" borderId="8" pivotButton="0" quotePrefix="0" xfId="0"/>
    <xf numFmtId="10" fontId="15" fillId="12" borderId="8" applyAlignment="1" pivotButton="0" quotePrefix="0" xfId="0">
      <alignment horizontal="right" vertical="center"/>
    </xf>
    <xf numFmtId="175" fontId="16" fillId="0" borderId="8" applyAlignment="1" pivotButton="0" quotePrefix="0" xfId="0">
      <alignment horizontal="right" vertical="center"/>
    </xf>
    <xf numFmtId="10" fontId="16" fillId="12" borderId="8" applyAlignment="1" pivotButton="0" quotePrefix="0" xfId="0">
      <alignment horizontal="right" vertical="center"/>
    </xf>
    <xf numFmtId="172" fontId="15" fillId="0" borderId="8" applyAlignment="1" pivotButton="0" quotePrefix="0" xfId="0">
      <alignment horizontal="right" vertical="center"/>
    </xf>
    <xf numFmtId="10" fontId="16" fillId="0" borderId="8" applyAlignment="1" pivotButton="0" quotePrefix="0" xfId="0">
      <alignment horizontal="right" vertical="center"/>
    </xf>
    <xf numFmtId="175" fontId="16" fillId="12" borderId="8" applyAlignment="1" pivotButton="0" quotePrefix="0" xfId="0">
      <alignment horizontal="right" vertical="center"/>
    </xf>
    <xf numFmtId="0" fontId="18" fillId="0" borderId="8" pivotButton="0" quotePrefix="0" xfId="0"/>
    <xf numFmtId="0" fontId="12" fillId="13" borderId="0" pivotButton="0" quotePrefix="0" xfId="0"/>
    <xf numFmtId="0" fontId="13" fillId="9" borderId="0" applyAlignment="1" pivotButton="0" quotePrefix="0" xfId="0">
      <alignment horizontal="center" vertical="center" wrapText="1"/>
    </xf>
    <xf numFmtId="0" fontId="16" fillId="13" borderId="8" applyAlignment="1" pivotButton="0" quotePrefix="0" xfId="0">
      <alignment horizontal="center" vertical="center"/>
    </xf>
    <xf numFmtId="0" fontId="16" fillId="13" borderId="8" applyAlignment="1" pivotButton="0" quotePrefix="0" xfId="0">
      <alignment horizontal="left" vertical="center"/>
    </xf>
    <xf numFmtId="172" fontId="16" fillId="13" borderId="8" applyAlignment="1" pivotButton="0" quotePrefix="0" xfId="0">
      <alignment horizontal="right" vertical="center"/>
    </xf>
    <xf numFmtId="10" fontId="16" fillId="13" borderId="8" applyAlignment="1" pivotButton="0" quotePrefix="0" xfId="0">
      <alignment horizontal="right" vertical="center"/>
    </xf>
    <xf numFmtId="175" fontId="16" fillId="13" borderId="8" applyAlignment="1" pivotButton="0" quotePrefix="0" xfId="0">
      <alignment horizontal="right" vertical="center"/>
    </xf>
    <xf numFmtId="0" fontId="15" fillId="0" borderId="8" applyAlignment="1" pivotButton="0" quotePrefix="0" xfId="0">
      <alignment horizontal="center" vertical="center"/>
    </xf>
    <xf numFmtId="0" fontId="15" fillId="0" borderId="8" applyAlignment="1" pivotButton="0" quotePrefix="0" xfId="0">
      <alignment horizontal="left" vertical="center"/>
    </xf>
    <xf numFmtId="175" fontId="15" fillId="0" borderId="8" applyAlignment="1" pivotButton="0" quotePrefix="0" xfId="0">
      <alignment horizontal="right" vertical="center"/>
    </xf>
    <xf numFmtId="0" fontId="16" fillId="12" borderId="9" applyAlignment="1" pivotButton="0" quotePrefix="0" xfId="0">
      <alignment horizontal="center" vertical="center"/>
    </xf>
    <xf numFmtId="0" fontId="16" fillId="12" borderId="9" applyAlignment="1" pivotButton="0" quotePrefix="0" xfId="0">
      <alignment horizontal="left" vertical="center"/>
    </xf>
    <xf numFmtId="172" fontId="16" fillId="12" borderId="9" applyAlignment="1" pivotButton="0" quotePrefix="0" xfId="0">
      <alignment horizontal="right" vertical="center"/>
    </xf>
    <xf numFmtId="10" fontId="16" fillId="12" borderId="9" applyAlignment="1" pivotButton="0" quotePrefix="0" xfId="0">
      <alignment horizontal="right" vertical="center"/>
    </xf>
    <xf numFmtId="175" fontId="16" fillId="12" borderId="9" applyAlignment="1" pivotButton="0" quotePrefix="0" xfId="0">
      <alignment horizontal="right" vertical="center"/>
    </xf>
    <xf numFmtId="0" fontId="16" fillId="0" borderId="8" applyAlignment="1" pivotButton="0" quotePrefix="0" xfId="0">
      <alignment horizontal="left" vertical="center"/>
    </xf>
    <xf numFmtId="172" fontId="16" fillId="0" borderId="8" applyAlignment="1" pivotButton="0" quotePrefix="0" xfId="0">
      <alignment horizontal="right" vertical="center"/>
    </xf>
    <xf numFmtId="0" fontId="16" fillId="15" borderId="8" applyAlignment="1" pivotButton="0" quotePrefix="0" xfId="0">
      <alignment horizontal="center" vertical="center"/>
    </xf>
    <xf numFmtId="0" fontId="16" fillId="15" borderId="8" applyAlignment="1" pivotButton="0" quotePrefix="0" xfId="0">
      <alignment horizontal="left" vertical="center"/>
    </xf>
    <xf numFmtId="172" fontId="16" fillId="15" borderId="8" applyAlignment="1" pivotButton="0" quotePrefix="0" xfId="0">
      <alignment horizontal="right" vertical="center"/>
    </xf>
    <xf numFmtId="10" fontId="16" fillId="15" borderId="8" applyAlignment="1" pivotButton="0" quotePrefix="0" xfId="0">
      <alignment horizontal="right" vertical="center"/>
    </xf>
    <xf numFmtId="175" fontId="16" fillId="15" borderId="8" applyAlignment="1" pivotButton="0" quotePrefix="0" xfId="0">
      <alignment horizontal="right" vertical="center"/>
    </xf>
    <xf numFmtId="0" fontId="16" fillId="13" borderId="10" applyAlignment="1" pivotButton="0" quotePrefix="0" xfId="0">
      <alignment horizontal="center" vertical="center"/>
    </xf>
    <xf numFmtId="0" fontId="16" fillId="13" borderId="10" applyAlignment="1" pivotButton="0" quotePrefix="0" xfId="0">
      <alignment horizontal="left" vertical="center"/>
    </xf>
    <xf numFmtId="1" fontId="16" fillId="13" borderId="10" applyAlignment="1" pivotButton="0" quotePrefix="0" xfId="0">
      <alignment horizontal="right" vertical="center"/>
    </xf>
    <xf numFmtId="0" fontId="0" fillId="0" borderId="8" pivotButton="0" quotePrefix="0" xfId="0"/>
    <xf numFmtId="0" fontId="12" fillId="0" borderId="0" applyAlignment="1" pivotButton="0" quotePrefix="0" xfId="0">
      <alignment horizontal="left" vertical="center" wrapText="1"/>
    </xf>
    <xf numFmtId="0" fontId="12" fillId="0" borderId="8" applyAlignment="1" pivotButton="0" quotePrefix="0" xfId="0">
      <alignment horizontal="center" vertical="center"/>
    </xf>
    <xf numFmtId="172" fontId="0" fillId="0" borderId="8" applyAlignment="1" pivotButton="0" quotePrefix="0" xfId="0">
      <alignment horizontal="right" vertical="center"/>
    </xf>
    <xf numFmtId="172" fontId="0" fillId="0" borderId="9" applyAlignment="1" pivotButton="0" quotePrefix="0" xfId="0">
      <alignment horizontal="right" vertical="center"/>
    </xf>
    <xf numFmtId="10" fontId="19" fillId="12" borderId="10" applyAlignment="1" pivotButton="0" quotePrefix="0" xfId="0">
      <alignment horizontal="right" vertical="center"/>
    </xf>
    <xf numFmtId="10" fontId="16" fillId="11" borderId="10" applyAlignment="1" pivotButton="0" quotePrefix="0" xfId="0">
      <alignment horizontal="right" vertical="center"/>
    </xf>
    <xf numFmtId="0" fontId="19" fillId="12" borderId="8" applyAlignment="1" pivotButton="0" quotePrefix="0" xfId="0">
      <alignment horizontal="center" vertical="center"/>
    </xf>
    <xf numFmtId="175" fontId="0" fillId="0" borderId="8" applyAlignment="1" pivotButton="0" quotePrefix="0" xfId="0">
      <alignment horizontal="right" vertical="center"/>
    </xf>
    <xf numFmtId="0" fontId="0" fillId="0" borderId="8" applyAlignment="1" pivotButton="0" quotePrefix="0" xfId="0">
      <alignment horizontal="right" vertical="center"/>
    </xf>
    <xf numFmtId="175" fontId="19" fillId="12" borderId="8" applyAlignment="1" pivotButton="0" quotePrefix="0" xfId="0">
      <alignment horizontal="right" vertical="center"/>
    </xf>
    <xf numFmtId="175" fontId="20" fillId="14" borderId="8" applyAlignment="1" pivotButton="0" quotePrefix="0" xfId="0">
      <alignment horizontal="right" vertical="center"/>
    </xf>
    <xf numFmtId="169" fontId="0" fillId="0" borderId="8" applyAlignment="1" pivotButton="0" quotePrefix="0" xfId="0">
      <alignment horizontal="right" vertical="center"/>
    </xf>
    <xf numFmtId="176" fontId="0" fillId="0" borderId="8" applyAlignment="1" pivotButton="0" quotePrefix="0" xfId="0">
      <alignment horizontal="right" vertical="center"/>
    </xf>
    <xf numFmtId="10" fontId="19" fillId="12" borderId="8" applyAlignment="1" pivotButton="0" quotePrefix="0" xfId="0">
      <alignment horizontal="right" vertical="center"/>
    </xf>
    <xf numFmtId="0" fontId="12" fillId="0" borderId="8" applyAlignment="1" pivotButton="0" quotePrefix="0" xfId="0">
      <alignment horizontal="left" vertical="center"/>
    </xf>
    <xf numFmtId="0" fontId="20" fillId="14" borderId="8" applyAlignment="1" pivotButton="0" quotePrefix="0" xfId="0">
      <alignment horizontal="center" vertical="center"/>
    </xf>
    <xf numFmtId="0" fontId="16" fillId="0" borderId="10" pivotButton="0" quotePrefix="0" xfId="0"/>
    <xf numFmtId="0" fontId="16" fillId="0" borderId="10" applyAlignment="1" pivotButton="0" quotePrefix="0" xfId="0">
      <alignment horizontal="center" vertical="center"/>
    </xf>
    <xf numFmtId="0" fontId="19" fillId="12" borderId="10" applyAlignment="1" pivotButton="0" quotePrefix="0" xfId="0">
      <alignment horizontal="center" vertical="center"/>
    </xf>
    <xf numFmtId="0" fontId="16" fillId="15" borderId="10" applyAlignment="1" pivotButton="0" quotePrefix="0" xfId="0">
      <alignment horizontal="center" vertical="center"/>
    </xf>
    <xf numFmtId="0" fontId="20" fillId="14" borderId="10" applyAlignment="1" pivotButton="0" quotePrefix="0" xfId="0">
      <alignment horizontal="center" vertical="center"/>
    </xf>
    <xf numFmtId="0" fontId="16" fillId="0" borderId="8" applyAlignment="1" pivotButton="0" quotePrefix="0" xfId="0">
      <alignment horizontal="left" vertical="center" wrapText="1"/>
    </xf>
    <xf numFmtId="0" fontId="12" fillId="0" borderId="9" pivotButton="0" quotePrefix="0" xfId="0"/>
    <xf numFmtId="0" fontId="12" fillId="0" borderId="9" applyAlignment="1" pivotButton="0" quotePrefix="0" xfId="0">
      <alignment horizontal="center" vertical="center"/>
    </xf>
    <xf numFmtId="172" fontId="16" fillId="0" borderId="9" applyAlignment="1" pivotButton="0" quotePrefix="0" xfId="0">
      <alignment horizontal="right" vertical="center"/>
    </xf>
    <xf numFmtId="0" fontId="12" fillId="0" borderId="10" pivotButton="0" quotePrefix="0" xfId="0"/>
    <xf numFmtId="0" fontId="12" fillId="0" borderId="10" applyAlignment="1" pivotButton="0" quotePrefix="0" xfId="0">
      <alignment horizontal="center" vertical="center"/>
    </xf>
    <xf numFmtId="167" fontId="16" fillId="0" borderId="10" applyAlignment="1" pivotButton="0" quotePrefix="0" xfId="0">
      <alignment horizontal="right" vertical="center"/>
    </xf>
    <xf numFmtId="167" fontId="16" fillId="0" borderId="9" applyAlignment="1" pivotButton="0" quotePrefix="0" xfId="0">
      <alignment horizontal="right" vertical="center"/>
    </xf>
    <xf numFmtId="10" fontId="16" fillId="0" borderId="10" applyAlignment="1" pivotButton="0" quotePrefix="0" xfId="0">
      <alignment horizontal="right" vertical="center"/>
    </xf>
    <xf numFmtId="171" fontId="15" fillId="0" borderId="8" applyAlignment="1" pivotButton="0" quotePrefix="0" xfId="0">
      <alignment horizontal="right" vertical="center"/>
    </xf>
    <xf numFmtId="2" fontId="16" fillId="0" borderId="10" applyAlignment="1" pivotButton="0" quotePrefix="0" xfId="0">
      <alignment horizontal="right" vertical="center"/>
    </xf>
    <xf numFmtId="0" fontId="13" fillId="9" borderId="0" applyAlignment="1" pivotButton="0" quotePrefix="0" xfId="0">
      <alignment horizontal="right" vertical="center"/>
    </xf>
    <xf numFmtId="0" fontId="15" fillId="0" borderId="8" applyAlignment="1" pivotButton="0" quotePrefix="0" xfId="0">
      <alignment horizontal="right" vertical="center"/>
    </xf>
    <xf numFmtId="0" fontId="0" fillId="0" borderId="13" pivotButton="0" quotePrefix="0" xfId="0"/>
    <xf numFmtId="0" fontId="0" fillId="0" borderId="14" pivotButton="0" quotePrefix="0" xfId="0"/>
    <xf numFmtId="0" fontId="12" fillId="11" borderId="8" applyAlignment="1" pivotButton="0" quotePrefix="0" xfId="0">
      <alignment horizontal="left" vertical="center" wrapText="1"/>
    </xf>
    <xf numFmtId="167" fontId="19" fillId="12" borderId="10" applyAlignment="1" pivotButton="0" quotePrefix="0" xfId="0">
      <alignment horizontal="right" vertical="center"/>
    </xf>
    <xf numFmtId="167" fontId="19" fillId="12" borderId="8" applyAlignment="1" pivotButton="0" quotePrefix="0" xfId="0">
      <alignment horizontal="right" vertical="center"/>
    </xf>
    <xf numFmtId="10" fontId="0" fillId="0" borderId="8" applyAlignment="1" pivotButton="0" quotePrefix="0" xfId="0">
      <alignment horizontal="right" vertical="center"/>
    </xf>
    <xf numFmtId="167" fontId="0" fillId="0" borderId="8" applyAlignment="1" pivotButton="0" quotePrefix="0" xfId="0">
      <alignment horizontal="right" vertical="center"/>
    </xf>
    <xf numFmtId="167" fontId="16" fillId="15" borderId="9" applyAlignment="1" pivotButton="0" quotePrefix="0" xfId="0">
      <alignment horizontal="right" vertical="center"/>
    </xf>
    <xf numFmtId="0" fontId="19" fillId="12" borderId="8" applyAlignment="1" pivotButton="0" quotePrefix="0" xfId="0">
      <alignment horizontal="center" vertical="center"/>
    </xf>
    <xf numFmtId="0" fontId="20" fillId="14" borderId="8" applyAlignment="1" pivotButton="0" quotePrefix="0" xfId="0">
      <alignment horizontal="center" vertical="center"/>
    </xf>
    <xf numFmtId="0" fontId="19" fillId="12" borderId="8" applyAlignment="1" pivotButton="0" quotePrefix="0" xfId="0">
      <alignment horizontal="center" vertical="center"/>
    </xf>
    <xf numFmtId="0" fontId="20" fillId="14" borderId="8"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Glosario Financiero SEC</author>
  </authors>
  <commentList>
    <comment ref="A6" authorId="0" shapeId="0">
      <text>
        <t>Margen Bruto = (Ingresos - Coste de Ventas) / Ingresos
Mide el porcentaje de ventas que la empresa retiene tras cubrir los costes directos de fabricación. Una expansión sostenida indica poder de fijación de precios y ventajas competitivas (Moat).</t>
      </text>
    </comment>
    <comment ref="A7" authorId="0" shapeId="0">
      <text>
        <t>Margen Operativo = Beneficio Operativo (EBIT) / Ingresos
Mide la rentabilidad de las operaciones principales tras absorber gastos de I+D y comerciales (SG&amp;A).</t>
      </text>
    </comment>
    <comment ref="A8" authorId="0" shapeId="0">
      <text>
        <t>Margen Neto = Beneficio Neto (Net Income) / Ingresos
Porcentaje final de ingresos que se traduce en ganancias netas disponibles para los accionistas.</t>
      </text>
    </comment>
    <comment ref="A9" authorId="0" shapeId="0">
      <text>
        <t>Margen FCF = Flujo de Caja Libre / Ingresos
Porcentaje de ingresos convertido directamente en caja líquida libre tras pagar inversiones de capital (CapEx).</t>
      </text>
    </comment>
    <comment ref="A10" authorId="0" shapeId="0">
      <text>
        <t>Tasa de Conversión = Free Cash Flow / Net Income
Mide la calidad contable de los beneficios. Si es superior a 100%, indica que las ganancias contables están más que respaldadas por efectivo real generado.</t>
      </text>
    </comment>
    <comment ref="A13" authorId="0" shapeId="0">
      <text>
        <t>ROE = Beneficio Neto / Promedio de Patrimonio Neto ((t + t-1) / 2)
Rentabilidad obtenida sobre los fondos propios medios del ejercicio.
El uso de patrimonio promedio mitiga distorsiones provocadas por recompras masivas de acciones o variaciones puntuales al cierre (Estándar institucional FactSet/Bloomberg).</t>
      </text>
    </comment>
    <comment ref="A14" authorId="0" shapeId="0">
      <text>
        <t>ROA = Beneficio Neto / Promedio de Activos Totales ((t + t-1) / 2)
Mide la eficiencia con la que la gerencia utiliza los activos medios operativos del ejercicio para generar beneficios netos.
Cumple con el principio contable de correspondencia temporal (Matching Principle), evitando castigar a empresas en fuerte crecimiento orgánico.</t>
      </text>
    </comment>
    <comment ref="A15" authorId="0" shapeId="0">
      <text>
        <t>ROC Greenblatt (Magic Formula) = EBIT / Capital Tangible Operativo Promedio
Mide la rentabilidad y productividad económica pura del negocio sobre los activos físicos y operativos requeridos para operar.
Excluye deuda, impuestos e intangibles capitalizados. Denominador = Promedio de (Capital de Trabajo Neto Operativo + PP&amp;E Neto).
Detección en Balances SEC:
• Numerador: Operating Income del Estado de Resultados (10-K / 10-Q).
• Activos Op.: Total Current Assets menos Efectivo y Valores Negociables.
• Pasivos Op.: Total Current Liabilities menos Commercial Paper y Deuda CP.
• PP&amp;E Neto: Property, plant and equipment, net del Balance.
• Salvaguarda: Si NWC &lt; 0, Capital Tangible se acota al PP&amp;E Neto.</t>
      </text>
    </comment>
    <comment ref="A18" authorId="0" shapeId="0">
      <text>
        <t>Current Ratio = Activo Corriente / Pasivo Corriente
Mide la solvencia de corto plazo (&lt; 1 año). Un valor &gt; 1.0x indica que los activos líquidos cubren las deudas inmediatas.</t>
      </text>
    </comment>
    <comment ref="A19" authorId="0" shapeId="0">
      <text>
        <t>Debt to Equity = Deuda Financiera Total / Patrimonio Neto
Mide el grado de apalancamiento financiero y la dependencia de acreedores frente al capital propio.</t>
      </text>
    </comment>
    <comment ref="A22" authorId="0" shapeId="0">
      <text>
        <t>Gross Profitability (Novy-Marx) = Utilidad Bruta / Activos Totales
Mide la productividad económica pura del capital instalado. Libre de distorsiones por gastos financieros, impuestos, amortizaciones contables o gastos corporativos. Factor clave de Quality Investing (Novy-Marx 2013 / Fama-French RMW).</t>
      </text>
    </comment>
    <comment ref="A23" authorId="0" shapeId="0">
      <text>
        <t>Gross Profitability Operativa = Utilidad Bruta / (Activos Totales - Caja y Equivalentes)
Aísla el efecto de la tesorería ociosa, evaluando el retorno generado exclusivamente sobre los activos que operan activamente en el negocio.</t>
      </text>
    </comment>
    <comment ref="A24" authorId="0" shapeId="0">
      <text>
        <t>Cash Drag = Gross Profitability Operativa - Gross Profitability Total
Mide en puntos porcentuales cuánto diluye la caja acumulada la rentabilidad nominal sobre activos. Un valor elevado revela una tesorería masiva que esconde la verdadera potencia productiva del negocio.</t>
      </text>
    </comment>
    <comment ref="A25" authorId="0" shapeId="0">
      <text>
        <t>Margen Bruto = Utilidad Bruta / Ingresos
Componente de margen en la descomposición DuPont de Novy-Marx. Evalúa pricing power y moat de marca.</t>
      </text>
    </comment>
    <comment ref="A26" authorId="0" shapeId="0">
      <text>
        <t>Rotación de Activos = Ingresos / Activos Totales
Componente de velocidad en DuPont. Mide cuántas veces al año la empresa convierte sus activos en ventas.</t>
      </text>
    </comment>
    <comment ref="A27" authorId="0" shapeId="0">
      <text>
        <t>Rotación Operativa = Ingresos / (Activos Totales - Caja)
Velocidad de facturación generada por cada dólar de activo operativo directo.</t>
      </text>
    </comment>
    <comment ref="A30" authorId="0" shapeId="0">
      <text>
        <t>ROIC Tradicional = NOPAT / Capital Invertido Promedio en Libros ((t + t-1) / 2)
Mide el retorno sobre activos tangibles registrados calculados sobre capital medio.
Tiende a estar artificialmente inflado en empresas de tecnología o marca masiva porque I+D y Publicidad se expulsan a gastos corrientes.</t>
      </text>
    </comment>
    <comment ref="A31" authorId="0" shapeId="0">
      <text>
        <t>ROIC Ajustado = NOPAT Ajustado / Capital Invertido Promedio Reconstituido ((t + t-1) / 2)
Metodología Damodaran/Mauboussin. Capitaliza I+D y Marketing amortizándolos económicamente.
Calculado sobre el Capital Invertido Promedio para garantizar la estricta correspondencia temporal con el NOPAT del ejercicio.</t>
      </text>
    </comment>
    <comment ref="A32" authorId="0" shapeId="0">
      <text>
        <t>Valor neto acumulado en balance de los gastos de I+D y Marca tras aplicar amortización lineal de N años.</t>
      </text>
    </comment>
    <comment ref="A33" authorId="0" shapeId="0">
      <text>
        <t>Capital Invertido Total Promedio = Promedio de (Activos Operativos + Stock Neto de Intangibles Capitalizados) ((t + t-1) / 2).</t>
      </text>
    </comment>
    <comment ref="A34" authorId="0" shapeId="0">
      <text>
        <t>WACC = (We * Ke) + (Wd * Kd * (1 - t))
Tasa de corte mínima exigida por accionistas y acreedores a valor de mercado.</t>
      </text>
    </comment>
    <comment ref="A35" authorId="0" shapeId="0">
      <text>
        <t>Spread Económico = ROIC Ajustado - WACC (puntos porcentuales)
Si es &gt; 0, crea valor económico neto (EVA). Si es &gt; +15%, califica como Foso Defensivo Excepcional (Wide Moat).</t>
      </text>
    </comment>
  </commentList>
</comments>
</file>

<file path=xl/comments/comment2.xml><?xml version="1.0" encoding="utf-8"?>
<comments xmlns="http://schemas.openxmlformats.org/spreadsheetml/2006/main">
  <authors>
    <author>Auditoría Fundamental SEC</author>
  </authors>
  <commentList>
    <comment ref="A8" authorId="0" shapeId="0">
      <text>
        <t>CRITERIO PIOTROSKI F-SCORE: ROA Positivo
• Categoría: Rentabilidad
• Regla Oficial: Net Income / Activos t-1 &gt; 0
• Lógica Contable: Utilidad neta positiva sobre la base de activos instalados.
• Fuente Oficial: SEC EDGAR Form 10-K / 10-Q XBRL</t>
      </text>
    </comment>
    <comment ref="A9" authorId="0" shapeId="0">
      <text>
        <t>CRITERIO PIOTROSKI F-SCORE: CFO Positivo
• Categoría: Rentabilidad
• Regla Oficial: Operating Cash Flow &gt; 0
• Lógica Contable: Flujo de caja operativo neto positivo.
• Fuente Oficial: SEC EDGAR Form 10-K / 10-Q XBRL</t>
      </text>
    </comment>
    <comment ref="A10" authorId="0" shapeId="0">
      <text>
        <t>CRITERIO PIOTROSKI F-SCORE: Mejora Interanual de ROA
• Categoría: Rentabilidad
• Regla Oficial: Delta ROA &gt; 0%
• Lógica Contable: Aceleración de la rentabilidad sobre activos frente al año previo.
• Fuente Oficial: SEC EDGAR Form 10-K / 10-Q XBRL</t>
      </text>
    </comment>
    <comment ref="A11" authorId="0" shapeId="0">
      <text>
        <t>CRITERIO PIOTROSKI F-SCORE: Calidad Contable de Sloan
• Categoría: Rentabilidad
• Regla Oficial: CFO &gt; Net Income
• Lógica Contable: Beneficios respaldados por efectivo contante (bajos devengos contables).
• Fuente Oficial: SEC EDGAR Form 10-K / 10-Q XBRL</t>
      </text>
    </comment>
    <comment ref="A12" authorId="0" shapeId="0">
      <text>
        <t>CRITERIO PIOTROSKI F-SCORE: Desendeudamiento Financiero Total
• Categoría: Apalancamiento
• Regla Oficial: Delta Deuda Total &lt;= 0%
• Lógica Contable: Reducción o estabilidad del apalancamiento financiero total sobre activos.
• Fuente Oficial: SEC EDGAR Form 10-K / 10-Q XBRL</t>
      </text>
    </comment>
    <comment ref="A13" authorId="0" shapeId="0">
      <text>
        <t>CRITERIO PIOTROSKI F-SCORE: Mejora de Razón Corriente
• Categoría: Liquidez
• Regla Oficial: Delta Current Ratio &gt; 0x
• Lógica Contable: Mayor cobertura de pasivos a corto plazo con activos corrientes.
• Fuente Oficial: SEC EDGAR Form 10-K / 10-Q XBRL</t>
      </text>
    </comment>
    <comment ref="A14" authorId="0" shapeId="0">
      <text>
        <t>CRITERIO PIOTROSKI F-SCORE: Cero Dilución (Acciones Básicas)
• Categoría: Capital
• Regla Oficial: Delta Acciones Básicas &lt;= 0
• Lógica Contable: Sin emisión neta dilutiva de capital; recompra de acciones o estabilidad.
• Fuente Oficial: SEC EDGAR Form 10-K / 10-Q XBRL</t>
      </text>
    </comment>
    <comment ref="A15" authorId="0" shapeId="0">
      <text>
        <t>CRITERIO PIOTROSKI F-SCORE: Expansión de Margen Bruto
• Categoría: Eficiencia
• Regla Oficial: Delta Margen Bruto &gt; 0%
• Lógica Contable: Mayor poder de fijación de precios o menor coste unitario de ventas.
• Fuente Oficial: SEC EDGAR Form 10-K / 10-Q XBRL</t>
      </text>
    </comment>
    <comment ref="A16" authorId="0" shapeId="0">
      <text>
        <t>CRITERIO PIOTROSKI F-SCORE: Expansión Rotación Activos
• Categoría: Eficiencia
• Regla Oficial: Delta Rotación Activos &gt; 0x
• Lógica Contable: Mayor volumen de ingresos generado por cada dólar de activo instalado.
• Fuente Oficial: SEC EDGAR Form 10-K / 10-Q XBRL</t>
      </text>
    </comment>
    <comment ref="D17" authorId="0" shapeId="0">
      <text>
        <t>TOTAL PIOTROSKI F-SCORE (LTM)
• Puntuación: 9 de 9 Puntos
• Clasificación: SALUD EXCEPCIONAL
• Escala Institucional:
  - 8-9 Pts: Fortaleza Financiera Sobresaliente
  - 5-7 Pts: Situación Estable
  - 0-4 Pts: Fragilidad / Alerta Financiera</t>
      </text>
    </comment>
    <comment ref="E17" authorId="0" shapeId="0">
      <text>
        <t>TOTAL PIOTROSKI F-SCORE (FY2025)
• Puntuación: 8 de 9 Puntos
• Clasificación: SALUD EXCEPCIONAL
• Escala Institucional:
  - 8-9 Pts: Fortaleza Financiera Sobresaliente
  - 5-7 Pts: Situación Estable
  - 0-4 Pts: Fragilidad / Alerta Financiera</t>
      </text>
    </comment>
    <comment ref="F17" authorId="0" shapeId="0">
      <text>
        <t>TOTAL PIOTROSKI F-SCORE (FY2024)
• Puntuación: 7 de 9 Puntos
• Clasificación: SALUD SÓLIDA
• Escala Institucional:
  - 8-9 Pts: Fortaleza Financiera Sobresaliente
  - 5-7 Pts: Situación Estable
  - 0-4 Pts: Fragilidad / Alerta Financiera</t>
      </text>
    </comment>
    <comment ref="G17" authorId="0" shapeId="0">
      <text>
        <t>TOTAL PIOTROSKI F-SCORE (FY2023)
• Puntuación: 7 de 9 Puntos
• Clasificación: SALUD SÓLIDA
• Escala Institucional:
  - 8-9 Pts: Fortaleza Financiera Sobresaliente
  - 5-7 Pts: Situación Estable
  - 0-4 Pts: Fragilidad / Alerta Financiera</t>
      </text>
    </comment>
    <comment ref="H17" authorId="0" shapeId="0">
      <text>
        <t>TOTAL PIOTROSKI F-SCORE (FY2022)
• Puntuación: 6 de 9 Puntos
• Clasificación: SALUD SÓLIDA
• Escala Institucional:
  - 8-9 Pts: Fortaleza Financiera Sobresaliente
  - 5-7 Pts: Situación Estable
  - 0-4 Pts: Fragilidad / Alerta Financiera</t>
      </text>
    </comment>
    <comment ref="I17" authorId="0" shapeId="0">
      <text>
        <t>TOTAL PIOTROSKI F-SCORE (FY2021)
• Puntuación: 7 de 9 Puntos
• Clasificación: SALUD SÓLIDA
• Escala Institucional:
  - 8-9 Pts: Fortaleza Financiera Sobresaliente
  - 5-7 Pts: Situación Estable
  - 0-4 Pts: Fragilidad / Alerta Financiera</t>
      </text>
    </comment>
    <comment ref="J17" authorId="0" shapeId="0">
      <text>
        <t>TOTAL PIOTROSKI F-SCORE (FY2020)
• Puntuación: 6 de 9 Puntos
• Clasificación: SALUD SÓLIDA
• Escala Institucional:
  - 8-9 Pts: Fortaleza Financiera Sobresaliente
  - 5-7 Pts: Situación Estable
  - 0-4 Pts: Fragilidad / Alerta Financiera</t>
      </text>
    </comment>
    <comment ref="K17" authorId="0" shapeId="0">
      <text>
        <t>TOTAL PIOTROSKI F-SCORE (FY2019)
• Puntuación: 6 de 9 Puntos
• Clasificación: SALUD SÓLIDA
• Escala Institucional:
  - 8-9 Pts: Fortaleza Financiera Sobresaliente
  - 5-7 Pts: Situación Estable
  - 0-4 Pts: Fragilidad / Alerta Financiera</t>
      </text>
    </comment>
    <comment ref="L17" authorId="0" shapeId="0">
      <text>
        <t>TOTAL PIOTROSKI F-SCORE (FY2018)
• Puntuación: 5 de 9 Puntos
• Clasificación: SALUD MODERADA
• Escala Institucional:
  - 8-9 Pts: Fortaleza Financiera Sobresaliente
  - 5-7 Pts: Situación Estable
  - 0-4 Pts: Fragilidad / Alerta Financiera</t>
      </text>
    </comment>
    <comment ref="M17" authorId="0" shapeId="0">
      <text>
        <t>TOTAL PIOTROSKI F-SCORE (FY2017)
• Puntuación: 6 de 9 Puntos
• Clasificación: SALUD SÓLIDA
• Escala Institucional:
  - 8-9 Pts: Fortaleza Financiera Sobresaliente
  - 5-7 Pts: Situación Estable
  - 0-4 Pts: Fragilidad / Alerta Financiera</t>
      </text>
    </comment>
    <comment ref="N17" authorId="0" shapeId="0">
      <text>
        <t>TOTAL PIOTROSKI F-SCORE (FY2016)
• Puntuación: 3 de 9 Puntos
• Clasificación: VULNERABILIDAD FINANCIERA
• Escala Institucional:
  - 8-9 Pts: Fortaleza Financiera Sobresaliente
  - 5-7 Pts: Situación Estable
  - 0-4 Pts: Fragilidad / Alerta Financiera</t>
      </text>
    </comment>
    <comment ref="A22" authorId="0" shapeId="0">
      <text>
        <t>CRITERIO MOHANRAM G-SCORE: ROA &gt; Mediana del Sector
• Categoría: Rentabilidad
• Benchmark Sectorial Oficial: &gt; Mediana Sector (10.94%)
• Lógica Contable: Rentabilidad sobre activos superior a la mitad del sector.
• Fuente: SEC EDGAR &amp; Mediana del Sector SIC 3571 (Hoja 8: 'Peer Group &amp; Medianas')</t>
      </text>
    </comment>
    <comment ref="A23" authorId="0" shapeId="0">
      <text>
        <t>CRITERIO MOHANRAM G-SCORE: CFROA &gt; Mediana del Sector
• Categoría: Flujo de Caja
• Benchmark Sectorial Oficial: &gt; Mediana Sector (13.77%)
• Lógica Contable: Generación de caja operativa sobre activos líder en la industria.
• Fuente: SEC EDGAR &amp; Mediana del Sector SIC 3571 (Hoja 8: 'Peer Group &amp; Medianas')</t>
      </text>
    </comment>
    <comment ref="A24" authorId="0" shapeId="0">
      <text>
        <t>CRITERIO MOHANRAM G-SCORE: Calidad Contable (CFO &gt; NI)
• Categoría: Devengos
• Benchmark Sectorial Oficial: CFO &gt; Utilidad Neta
• Lógica Contable: Flujo de caja operativo superior a las ganancias devengadas.
• Fuente: SEC EDGAR &amp; Mediana del Sector SIC 3571 (Hoja 8: 'Peer Group &amp; Medianas')</t>
      </text>
    </comment>
    <comment ref="A25" authorId="0" shapeId="0">
      <text>
        <t>CRITERIO MOHANRAM G-SCORE: Estabilidad / Nivel Superior de ROA
• Categoría: Predictibilidad
• Benchmark Sectorial Oficial: CV &lt; 0.35 o ROA &gt;= P75 (32.36%)
• Lógica Contable: Baja volatilidad en rentabilidad o nivel de retorno permanentemente en percentil 75 superior.
• Fuente: SEC EDGAR &amp; Mediana del Sector SIC 3571 (Hoja 8: 'Peer Group &amp; Medianas')</t>
      </text>
    </comment>
    <comment ref="A26" authorId="0" shapeId="0">
      <text>
        <t>CRITERIO MOHANRAM G-SCORE: Estabilidad / Hipercrecimiento
• Categoría: Predictibilidad
• Benchmark Sectorial Oficial: CV &lt; 0.40 o g &gt;= 20%
• Lógica Contable: Trayectoria predecible de ingresos o expansión acelerada superior al 20% anual.
• Fuente: SEC EDGAR &amp; Mediana del Sector SIC 3571 (Hoja 8: 'Peer Group &amp; Medianas')</t>
      </text>
    </comment>
    <comment ref="A27" authorId="0" shapeId="0">
      <text>
        <t>CRITERIO MOHANRAM G-SCORE: Intensidad en I+D vs Sector
• Categoría: Intangibles
• Benchmark Sectorial Oficial: R&amp;D / Activos &gt; 6.00%
• Lógica Contable: Reinversión en investigación y desarrollo para fortalecer ventajas competitivas (moats).
• Fuente: SEC EDGAR &amp; Mediana del Sector SIC 3571 (Hoja 8: 'Peer Group &amp; Medianas')</t>
      </text>
    </comment>
    <comment ref="A28" authorId="0" shapeId="0">
      <text>
        <t>CRITERIO MOHANRAM G-SCORE: Inversión de Capital / Asset-Light
• Categoría: Inversión
• Benchmark Sectorial Oficial: Reinversión &gt; 9.43%
• Lógica Contable: Tasa de Inversión Total en Crecimiento (I+D + CapEx) para modelos ligeros en activos.
• Fuente: SEC EDGAR &amp; Mediana del Sector SIC 3571 (Hoja 8: 'Peer Group &amp; Medianas')</t>
      </text>
    </comment>
    <comment ref="A29" authorId="0" shapeId="0">
      <text>
        <t>CRITERIO MOHANRAM G-SCORE: Apalancamiento Comercial (SG&amp;A)
• Categoría: Eficiencia
• Benchmark Sectorial Oficial: % Delta Ventas &gt; % Delta SG&amp;A
• Lógica Contable: Eficiencia comercial: ingresos escalan con mayor dinamismo que los gastos administrativos y de ventas.
• Fuente: SEC EDGAR &amp; Mediana del Sector SIC 3571 (Hoja 8: 'Peer Group &amp; Medianas')</t>
      </text>
    </comment>
    <comment ref="D30" authorId="0" shapeId="0">
      <text>
        <t>TOTAL MOHANRAM G-SCORE (LTM)
• Puntuación: 7 de 8 Puntos
• Clasificación: CRECIMIENTO DE ÉLITE
• Escala Institucional:
  - 6-8 Pts: Calidad de Crecimiento Élite (Compounder)
  - 4-5 Pts: Crecimiento Promedio / Moderado
  - 0-3 Pts: Crecimiento Frágil o Destructivo</t>
      </text>
    </comment>
    <comment ref="E30" authorId="0" shapeId="0">
      <text>
        <t>TOTAL MOHANRAM G-SCORE (FY2025)
• Puntuación: 6 de 8 Puntos
• Clasificación: CRECIMIENTO DE ÉLITE
• Escala Institucional:
  - 6-8 Pts: Calidad de Crecimiento Élite (Compounder)
  - 4-5 Pts: Crecimiento Promedio / Moderado
  - 0-3 Pts: Crecimiento Frágil o Destructivo</t>
      </text>
    </comment>
    <comment ref="F30" authorId="0" shapeId="0">
      <text>
        <t>TOTAL MOHANRAM G-SCORE (FY2024)
• Puntuación: 6 de 8 Puntos
• Clasificación: CRECIMIENTO DE ÉLITE
• Escala Institucional:
  - 6-8 Pts: Calidad de Crecimiento Élite (Compounder)
  - 4-5 Pts: Crecimiento Promedio / Moderado
  - 0-3 Pts: Crecimiento Frágil o Destructivo</t>
      </text>
    </comment>
    <comment ref="G30" authorId="0" shapeId="0">
      <text>
        <t>TOTAL MOHANRAM G-SCORE (FY2023)
• Puntuación: 6 de 8 Puntos
• Clasificación: CRECIMIENTO DE ÉLITE
• Escala Institucional:
  - 6-8 Pts: Calidad de Crecimiento Élite (Compounder)
  - 4-5 Pts: Crecimiento Promedio / Moderado
  - 0-3 Pts: Crecimiento Frágil o Destructivo</t>
      </text>
    </comment>
    <comment ref="H30" authorId="0" shapeId="0">
      <text>
        <t>TOTAL MOHANRAM G-SCORE (FY2022)
• Puntuación: 6 de 8 Puntos
• Clasificación: CRECIMIENTO DE ÉLITE
• Escala Institucional:
  - 6-8 Pts: Calidad de Crecimiento Élite (Compounder)
  - 4-5 Pts: Crecimiento Promedio / Moderado
  - 0-3 Pts: Crecimiento Frágil o Destructivo</t>
      </text>
    </comment>
    <comment ref="I30" authorId="0" shapeId="0">
      <text>
        <t>TOTAL MOHANRAM G-SCORE (FY2021)
• Puntuación: 7 de 8 Puntos
• Clasificación: CRECIMIENTO DE ÉLITE
• Escala Institucional:
  - 6-8 Pts: Calidad de Crecimiento Élite (Compounder)
  - 4-5 Pts: Crecimiento Promedio / Moderado
  - 0-3 Pts: Crecimiento Frágil o Destructivo</t>
      </text>
    </comment>
    <comment ref="J30" authorId="0" shapeId="0">
      <text>
        <t>TOTAL MOHANRAM G-SCORE (FY2020)
• Puntuación: 4 de 8 Puntos
• Clasificación: CRECIMIENTO PROMEDIO
• Escala Institucional:
  - 6-8 Pts: Calidad de Crecimiento Élite (Compounder)
  - 4-5 Pts: Crecimiento Promedio / Moderado
  - 0-3 Pts: Crecimiento Frágil o Destructivo</t>
      </text>
    </comment>
    <comment ref="K30" authorId="0" shapeId="0">
      <text>
        <t>TOTAL MOHANRAM G-SCORE (FY2019)
• Puntuación: 4 de 8 Puntos
• Clasificación: CRECIMIENTO PROMEDIO
• Escala Institucional:
  - 6-8 Pts: Calidad de Crecimiento Élite (Compounder)
  - 4-5 Pts: Crecimiento Promedio / Moderado
  - 0-3 Pts: Crecimiento Frágil o Destructivo</t>
      </text>
    </comment>
    <comment ref="L30" authorId="0" shapeId="0">
      <text>
        <t>TOTAL MOHANRAM G-SCORE (FY2018)
• Puntuación: 5 de 8 Puntos
• Clasificación: CRECIMIENTO PROMEDIO
• Escala Institucional:
  - 6-8 Pts: Calidad de Crecimiento Élite (Compounder)
  - 4-5 Pts: Crecimiento Promedio / Moderado
  - 0-3 Pts: Crecimiento Frágil o Destructivo</t>
      </text>
    </comment>
    <comment ref="M30" authorId="0" shapeId="0">
      <text>
        <t>TOTAL MOHANRAM G-SCORE (FY2017)
• Puntuación: 4 de 8 Puntos
• Clasificación: CRECIMIENTO PROMEDIO
• Escala Institucional:
  - 6-8 Pts: Calidad de Crecimiento Élite (Compounder)
  - 4-5 Pts: Crecimiento Promedio / Moderado
  - 0-3 Pts: Crecimiento Frágil o Destructivo</t>
      </text>
    </comment>
    <comment ref="N30" authorId="0" shapeId="0">
      <text>
        <t>TOTAL MOHANRAM G-SCORE (FY2016)
• Puntuación: 3 de 8 Puntos
• Clasificación: CRECIMIENTO FRÁGIL
• Escala Institucional:
  - 6-8 Pts: Calidad de Crecimiento Élite (Compounder)
  - 4-5 Pts: Crecimiento Promedio / Moderado
  - 0-3 Pts: Crecimiento Frágil o Destructivo</t>
      </text>
    </comment>
  </commentList>
</comments>
</file>

<file path=xl/comments/comment3.xml><?xml version="1.0" encoding="utf-8"?>
<comments xmlns="http://schemas.openxmlformats.org/spreadsheetml/2006/main">
  <authors>
    <author>Glosario Institucional</author>
    <author>Auditoría SEC EDGAR</author>
    <author>Metodología Scoring &amp; Benchmark</author>
    <author>Estadística Sectorial</author>
    <author>Metodología Mohanram G-Score</author>
    <author>Auditoría Competitiva</author>
  </authors>
  <commentList>
    <comment ref="A6" authorId="0" shapeId="0">
      <text>
        <t>Ticker Bursátil
Símbolo de cotización en bolsas de EE.UU. (NASDAQ / NYSE).</t>
      </text>
    </comment>
    <comment ref="B6" authorId="0" shapeId="0">
      <text>
        <t>Empresa Competidora
Compañía comparable del sector de tecnología de hardware y almacenamiento (SIC 3571).</t>
      </text>
    </comment>
    <comment ref="C6" authorId="0" shapeId="0">
      <text>
        <t>Ingresos LTM ($M)
Fórmula: Total Revenue (Últimos 12 meses móviles).
Facturación bruta auditada generada por venta de productos y servicios.
Fuente: SEC Form 10-K y 10-Q.</t>
      </text>
    </comment>
    <comment ref="D6" authorId="0" shapeId="0">
      <text>
        <t>Activos Totales LTM ($M)
Fórmula: Total Assets al cierre del período LTM.
Base total de capital y recursos controlados por la entidad.
Fuente: Balance General Auditado.</t>
      </text>
    </comment>
    <comment ref="E6" authorId="0" shapeId="0">
      <text>
        <t>Gasto I+D LTM ($M)
Fórmula: Research and Development Expense LTM.
Inversión en desarrollo de nueva tecnología, software y patentes.
Fuente: Estado de Resultados.</t>
      </text>
    </comment>
    <comment ref="F6" authorId="0" shapeId="0">
      <text>
        <t>Intensidad I+D (I+D/Act)
Fórmula: =Gasto I+D / Activos Totales (Col E / Col D).
Evalúa la inversión en innovación relativa al tamaño de activos. Criterio clave del Mohanram G6.</t>
      </text>
    </comment>
    <comment ref="G6" authorId="0" shapeId="0">
      <text>
        <t>CapEx LTM ($M)
Fórmula: Payments for Property, Plant and Equipment (CapEx) LTM.
Inversiones en bienes de uso, centros de datos y equipamiento técnico.
Fuente: Flujo de Caja de Inversión.</t>
      </text>
    </comment>
    <comment ref="H6" authorId="0" shapeId="0">
      <text>
        <t>Inversión Total
Fórmula: =(I+D + CapEx) / Activos Totales ((Col E + Col G) / Col D).
Métrica consensuada para modelos Asset-Light. Tasa de reinversión total en crecimiento orgánico e intangible. Criterio Mohanram G7.</t>
      </text>
    </comment>
    <comment ref="I6" authorId="0" shapeId="0">
      <text>
        <t>Utilidad Neta LTM ($M)
Fórmula: Net Income auditada LTM.
Beneficio final neto después de impuestos, intereses y amortizaciones atribuible a los accionistas.</t>
      </text>
    </comment>
    <comment ref="J6" authorId="0" shapeId="0">
      <text>
        <t>ROA LTM (%)
Fórmula: =Utilidad Neta / Activos Totales (Col I / Col D).
Rentabilidad Económica Operativa sobre activos instalados. Criterio de rentabilidad en Piotroski F1 y Mohanram G1.</t>
      </text>
    </comment>
    <comment ref="K6" authorId="0" shapeId="0">
      <text>
        <t>Flujo Operativo CFO LTM ($M)
Fórmula: Cash Flow from Operating Activities (CFO) LTM.
Efectivo líquido generado por las operaciones comerciales ordinarias, libre de devengos contables.</t>
      </text>
    </comment>
    <comment ref="L6" authorId="0" shapeId="0">
      <text>
        <t>CFROA LTM (%)
Fórmula: =CFO / Activos Totales (Col K / Col D).
Rentabilidad de flujo de caja sobre activos instalados. Mide la verdadera capacidad de convertir activos en efectivo contante y sonante libre de distorsiones de causación. Criterio Mohanram G2.</t>
      </text>
    </comment>
    <comment ref="M6" authorId="0" shapeId="0">
      <text>
        <t>Gastos SG&amp;A LTM ($M)
Fórmula: Selling, General and Administrative Expenses LTM.
Gastos comerciales, de ventas y administración general. Base para evaluar el apalancamiento operativo en Mohanram G8.</t>
      </text>
    </comment>
    <comment ref="N6" authorId="0" shapeId="0">
      <text>
        <t>Utilidad Bruta LTM ($M)
Fórmula: Gross Profit LTM = Ingresos - Costo de Ventas.
Utilidad bruta generada directamente por las operaciones de venta.
Fuente: SEC Form 10-K y 10-Q.</t>
      </text>
    </comment>
    <comment ref="O6" authorId="0" shapeId="0">
      <text>
        <t>GP / Activos (%) [Novy-Marx]
Fórmula: =Utilidad Bruta / Activos Totales (Col N / Col D).
Rentabilidad Bruta sobre Activos de Robert Novy-Marx (2013). Mide la productividad pura del capital instalado.</t>
      </text>
    </comment>
    <comment ref="P6" authorId="0" shapeId="0">
      <text>
        <t>GP / Activos Ex-Caja (%)
Fórmula: =Utilidad Bruta / (Activos Totales - Caja).
Aísla el exceso de tesorería y evalúa la productividad sobre activos netamente operativos.</t>
      </text>
    </comment>
    <comment ref="Q6" authorId="0" shapeId="0">
      <text>
        <t>ROIC Ajustado (%)
Fórmula: ROIC Ajustado por capitalización de intangibles de innovación y marketing (Damodaran/Mauboussin).</t>
      </text>
    </comment>
    <comment ref="R6" authorId="0" shapeId="0">
      <text>
        <t>WACC (%)
Fórmula: Costo Promedio Ponderado del Capital a valores de mercado.</t>
      </text>
    </comment>
    <comment ref="S6" authorId="0" shapeId="0">
      <text>
        <t>Spread Económico (%)
Fórmula: =ROIC Ajustado - WACC (Col Q - Col R). Creación neta de valor económico sobre capital invertido.</t>
      </text>
    </comment>
    <comment ref="T6" authorId="0" shapeId="0">
      <text>
        <t>ROC Greenblatt (%)
Fórmula: ROC Greenblatt = EBIT / Capital Tangible Promedio (NWC Operativo + PP&amp;E Neto).
Mide la rentabilidad operativa sobre activos tangibles físicos y de operación requeridos por el negocio.</t>
      </text>
    </comment>
    <comment ref="A7" authorId="1" shapeId="0">
      <text>
        <t>EMPRESA OBJETIVO AUDITADA: Apple Inc. (AAPL)
• Período: Cifras oficiales LTM (Últimos 12 meses móviles auditados).
• Construcción: Q3 FY2026 móvil (Acumulado 9M FY26 + FY25 - 9M FY25).
• Fuente Oficial: SEC EDGAR Form 10-Q (1 de agosto 2026) y Form 10-K FY2025.</t>
      </text>
    </comment>
    <comment ref="B7" authorId="1" shapeId="0">
      <text>
        <t>EMPRESA OBJETIVO AUDITADA: Apple Inc. (AAPL)
• Período: Cifras oficiales LTM (Últimos 12 meses móviles auditados).
• Construcción: Q3 FY2026 móvil (Acumulado 9M FY26 + FY25 - 9M FY25).
• Fuente Oficial: SEC EDGAR Form 10-Q (1 de agosto 2026) y Form 10-K FY2025.</t>
      </text>
    </comment>
    <comment ref="B15" authorId="2" shapeId="0">
      <text>
        <t>Fórmula: =MEDIAN(rango)
Mediana de la muestra del sector de tecnología (SIC 3571).
Es el valor central que separa la mitad superior de la inferior (50% por encima, 50% por debajo).
Utilizado para las señales G1, G2, G6 y G7 de Mohanram y para el Industry De-meaning de Novy-Marx GP/A.</t>
      </text>
    </comment>
    <comment ref="B16" authorId="3" shapeId="0">
      <text>
        <t>Fórmula: =AVERAGE(rango)
Media aritmética simple de la muestra de empresas comparables del sector.</t>
      </text>
    </comment>
    <comment ref="B17" authorId="4" shapeId="0">
      <text>
        <t>Fórmula: =PERCENTILE(rango, 0.75)
Percentil 75 Superior de la industria SIC 3571 (delimita el 25% superior de mejor desempeño).
Cláusula Líder Mohanram: Si una empresa se sitúa en o por encima del P75 en ROA, aprueba de inmediato el Criterio G4 sin ser penalizada por volatilidad o variabilidad de retornos.</t>
      </text>
    </comment>
    <comment ref="B20" authorId="5" shapeId="0">
      <text>
        <t>Fórmula: =RANK(celda, rango)
Posición ordinal de AAPL dentro del grupo de competidores analizados.
• Posición 1 = Líder absoluto de la industria en la métrica.
• Posición 8 = Menor desempeño relativo del grupo.</t>
      </text>
    </comment>
  </commentList>
</comments>
</file>

<file path=xl/comments/comment4.xml><?xml version="1.0" encoding="utf-8"?>
<comments xmlns="http://schemas.openxmlformats.org/spreadsheetml/2006/main">
  <authors>
    <author>Auditoría Forense</author>
  </authors>
  <commentList>
    <comment ref="A8" authorId="0" shapeId="0">
      <text>
        <t>El Sloan Accrual Ratio mide la proporción del beneficio contable que no proviene de efectivo operativo en relación con los activos totales promedio. Ratios &gt; +10% son señales de alarma de utilidades infladas artificialmente.</t>
      </text>
    </comment>
    <comment ref="A20" authorId="0" shapeId="0">
      <text>
        <t>Evalúa discrepancias de velocidad entre activos circulantes y la cuenta de resultados: 1) Clientes vs Ventas (Channel Stuffing), 2) Inventario vs COGS (Acumulación/Absorción indebida), 3) Activos Blandos (Capitalización de gastos).</t>
      </text>
    </comment>
    <comment ref="A51" authorId="0" shapeId="0">
      <text>
        <t>James Montier diseñó el C-Score para cuantificar la probabilidad de maquillaje en estados contables. Puntajes de 0 a 1 reflejan contabilidad limpia (&lt; 5% probabilidad de fraude); puntajes &gt;= 4 indican alto riesgo forense.</t>
      </text>
    </comment>
  </commentList>
</comments>
</file>

<file path=xl/comments/comment5.xml><?xml version="1.0" encoding="utf-8"?>
<comments xmlns="http://schemas.openxmlformats.org/spreadsheetml/2006/main">
  <authors>
    <author>Solvencia Institucional</author>
    <author>Cobertura y Carga Financiera</author>
    <author>Liquidez y Vencimientos</author>
    <author>Modelos de Insolvencia</author>
  </authors>
  <commentList>
    <comment ref="A8" authorId="0" shapeId="0">
      <text>
        <t>Evalúa cuántos años de generación bruta de efectivo (EBITDA o FCF) necesita la empresa para cancelar su deuda neta. Valores menores a 1.5x representan grado de inversión superior. Si la empresa tiene más caja que deuda, reporta Posición de Caja Neta.</t>
      </text>
    </comment>
    <comment ref="A23" authorId="1" shapeId="0">
      <text>
        <t>Mide la capacidad de la utilidad operativa (EBIT) y el flujo de caja operativo (CFO) para absorber los intereses de la deuda. Coberturas &lt; 2.5x reflejan alta vulnerabilidad ante subidas de tipos.</t>
      </text>
    </comment>
    <comment ref="A34" authorId="2" shapeId="0">
      <text>
        <t>Analiza la liquidez sin depender de la venta forzada de existencias (Quick Ratio) y la proporción de deuda que vence en menos de 12 meses (Riesgo de Refinanciación).</t>
      </text>
    </comment>
    <comment ref="A47" authorId="3" shapeId="0">
      <text>
        <t>El Altman Z''-Score (4 variables) predice la probabilidad de insolvencia a 2 años vista (Segura &gt; 2.60 | Distress &lt; 1.10). El Rating Sintético de Damodaran mapea la cobertura de intereses al rating de S&amp;P/Moody's y su probabilidad empírica de impago.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25"/>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47" customWidth="1" style="105" min="1" max="1"/>
    <col width="14.5" customWidth="1" style="105" min="2" max="2"/>
    <col width="14.5" customWidth="1" style="105" min="3" max="3"/>
    <col width="14.5" customWidth="1" style="105" min="4" max="4"/>
    <col width="14.5" customWidth="1" style="105" min="5" max="5"/>
    <col width="14.5" customWidth="1" style="105" min="6" max="6"/>
    <col width="14.5" customWidth="1" style="105" min="7" max="7"/>
    <col width="14.5" customWidth="1" style="105" min="8" max="8"/>
    <col width="14.5" customWidth="1" style="105" min="9" max="9"/>
    <col width="14.5" customWidth="1" style="105" min="10" max="10"/>
    <col width="14.5" customWidth="1" style="105" min="11" max="11"/>
    <col width="14.5" customWidth="1" style="105" min="12" max="12"/>
  </cols>
  <sheetData>
    <row r="1" ht="30" customHeight="1" s="105">
      <c r="A1" s="107" t="inlineStr">
        <is>
          <t>Apple Inc. (AAPL) - Resumen Fundamental (10 Años + LTM)</t>
        </is>
      </c>
    </row>
    <row r="2" ht="18" customHeight="1" s="105">
      <c r="A2" s="108" t="inlineStr">
        <is>
          <t>Cifras en Millones de USD ($M), salvo acciones | Fuente: SEC EDGAR (US-GAAP Oficial)</t>
        </is>
      </c>
    </row>
    <row r="3" ht="8" customHeight="1" s="105"/>
    <row r="4" ht="25" customHeight="1" s="105">
      <c r="A4" s="109" t="inlineStr">
        <is>
          <t>Partida Financiera (en $M USD)</t>
        </is>
      </c>
      <c r="B4" s="110" t="inlineStr">
        <is>
          <t>LTM</t>
        </is>
      </c>
      <c r="C4" s="111" t="inlineStr">
        <is>
          <t>FY2025</t>
        </is>
      </c>
      <c r="D4" s="111" t="inlineStr">
        <is>
          <t>FY2024</t>
        </is>
      </c>
      <c r="E4" s="111" t="inlineStr">
        <is>
          <t>FY2023</t>
        </is>
      </c>
      <c r="F4" s="111" t="inlineStr">
        <is>
          <t>FY2022</t>
        </is>
      </c>
      <c r="G4" s="111" t="inlineStr">
        <is>
          <t>FY2021</t>
        </is>
      </c>
      <c r="H4" s="111" t="inlineStr">
        <is>
          <t>FY2020</t>
        </is>
      </c>
      <c r="I4" s="111" t="inlineStr">
        <is>
          <t>FY2019</t>
        </is>
      </c>
      <c r="J4" s="111" t="inlineStr">
        <is>
          <t>FY2018</t>
        </is>
      </c>
      <c r="K4" s="111" t="inlineStr">
        <is>
          <t>FY2017</t>
        </is>
      </c>
      <c r="L4" s="111" t="inlineStr">
        <is>
          <t>FY2016</t>
        </is>
      </c>
    </row>
    <row r="5" ht="18.5" customHeight="1" s="105">
      <c r="A5" s="112" t="inlineStr">
        <is>
          <t>Ingresos Totales (Revenue)</t>
        </is>
      </c>
      <c r="B5" s="113" t="n">
        <v>466823</v>
      </c>
      <c r="C5" s="113" t="n">
        <v>416161</v>
      </c>
      <c r="D5" s="113" t="n">
        <v>391035</v>
      </c>
      <c r="E5" s="113" t="n">
        <v>383285</v>
      </c>
      <c r="F5" s="113" t="n">
        <v>394328</v>
      </c>
      <c r="G5" s="113" t="n">
        <v>365817</v>
      </c>
      <c r="H5" s="113" t="n">
        <v>274515</v>
      </c>
      <c r="I5" s="113" t="n">
        <v>260174</v>
      </c>
      <c r="J5" s="113" t="n">
        <v>265595</v>
      </c>
      <c r="K5" s="113" t="n">
        <v>229234</v>
      </c>
      <c r="L5" s="113" t="n">
        <v>215639</v>
      </c>
    </row>
    <row r="6" ht="18.5" customHeight="1" s="105">
      <c r="A6" s="112" t="inlineStr">
        <is>
          <t>(-) Costo de Ventas (COGS)</t>
        </is>
      </c>
      <c r="B6" s="113" t="n">
        <v>239700</v>
      </c>
      <c r="C6" s="113" t="n">
        <v>220960</v>
      </c>
      <c r="D6" s="113" t="n">
        <v>210352</v>
      </c>
      <c r="E6" s="113" t="n">
        <v>214137</v>
      </c>
      <c r="F6" s="113" t="n">
        <v>223546</v>
      </c>
      <c r="G6" s="113" t="n">
        <v>212981</v>
      </c>
      <c r="H6" s="113" t="n">
        <v>169559</v>
      </c>
      <c r="I6" s="113" t="n">
        <v>161782</v>
      </c>
      <c r="J6" s="113" t="n">
        <v>163756</v>
      </c>
      <c r="K6" s="113" t="n">
        <v>141048</v>
      </c>
      <c r="L6" s="113" t="n">
        <v>131376</v>
      </c>
    </row>
    <row r="7" ht="18.5" customHeight="1" s="105">
      <c r="A7" s="114" t="inlineStr">
        <is>
          <t>(=) Margen Bruto (Gross Profit)</t>
        </is>
      </c>
      <c r="B7" s="115" t="n">
        <v>227123</v>
      </c>
      <c r="C7" s="115" t="n">
        <v>195201</v>
      </c>
      <c r="D7" s="115" t="n">
        <v>180683</v>
      </c>
      <c r="E7" s="115" t="n">
        <v>169148</v>
      </c>
      <c r="F7" s="115" t="n">
        <v>170782</v>
      </c>
      <c r="G7" s="115" t="n">
        <v>152836</v>
      </c>
      <c r="H7" s="115" t="n">
        <v>104956</v>
      </c>
      <c r="I7" s="115" t="n">
        <v>98392</v>
      </c>
      <c r="J7" s="115" t="n">
        <v>101839</v>
      </c>
      <c r="K7" s="115" t="n">
        <v>88186</v>
      </c>
      <c r="L7" s="115" t="n">
        <v>84263</v>
      </c>
    </row>
    <row r="8" ht="18.5" customHeight="1" s="105">
      <c r="A8" s="112" t="inlineStr">
        <is>
          <t>(-) Total Gastos Operativos (OpEx)</t>
        </is>
      </c>
      <c r="B8" s="113" t="n">
        <v>72264</v>
      </c>
      <c r="C8" s="113" t="n">
        <v>62151</v>
      </c>
      <c r="D8" s="113" t="n">
        <v>57467</v>
      </c>
      <c r="E8" s="113" t="n">
        <v>54847</v>
      </c>
      <c r="F8" s="113" t="n">
        <v>51345</v>
      </c>
      <c r="G8" s="113" t="n">
        <v>43887</v>
      </c>
      <c r="H8" s="113" t="n">
        <v>38668</v>
      </c>
      <c r="I8" s="113" t="n">
        <v>34462</v>
      </c>
      <c r="J8" s="113" t="n">
        <v>30941</v>
      </c>
      <c r="K8" s="113" t="n">
        <v>26842</v>
      </c>
      <c r="L8" s="113" t="n">
        <v>24239</v>
      </c>
    </row>
    <row r="9" ht="18.5" customHeight="1" s="105">
      <c r="A9" s="114" t="inlineStr">
        <is>
          <t>(=) Beneficio Operativo (EBIT)</t>
        </is>
      </c>
      <c r="B9" s="115" t="n">
        <v>154859</v>
      </c>
      <c r="C9" s="115" t="n">
        <v>133050</v>
      </c>
      <c r="D9" s="115" t="n">
        <v>123216</v>
      </c>
      <c r="E9" s="115" t="n">
        <v>114301</v>
      </c>
      <c r="F9" s="115" t="n">
        <v>119437</v>
      </c>
      <c r="G9" s="115" t="n">
        <v>108949</v>
      </c>
      <c r="H9" s="115" t="n">
        <v>66288</v>
      </c>
      <c r="I9" s="115" t="n">
        <v>63930</v>
      </c>
      <c r="J9" s="115" t="n">
        <v>70898</v>
      </c>
      <c r="K9" s="115" t="n">
        <v>61344</v>
      </c>
      <c r="L9" s="115" t="n">
        <v>60024</v>
      </c>
    </row>
    <row r="10" ht="18.5" customHeight="1" s="105">
      <c r="A10" s="114" t="inlineStr">
        <is>
          <t>(=) Beneficio Neto (Net Income)</t>
        </is>
      </c>
      <c r="B10" s="115" t="n">
        <v>128930</v>
      </c>
      <c r="C10" s="115" t="n">
        <v>112010</v>
      </c>
      <c r="D10" s="115" t="n">
        <v>93736</v>
      </c>
      <c r="E10" s="115" t="n">
        <v>96995</v>
      </c>
      <c r="F10" s="115" t="n">
        <v>99803</v>
      </c>
      <c r="G10" s="115" t="n">
        <v>94680</v>
      </c>
      <c r="H10" s="115" t="n">
        <v>57411</v>
      </c>
      <c r="I10" s="115" t="n">
        <v>55256</v>
      </c>
      <c r="J10" s="115" t="n">
        <v>59531</v>
      </c>
      <c r="K10" s="115" t="n">
        <v>48351</v>
      </c>
      <c r="L10" s="115" t="n">
        <v>45687</v>
      </c>
    </row>
    <row r="11" ht="10" customHeight="1" s="105"/>
    <row r="12" ht="18.5" customHeight="1" s="105">
      <c r="A12" s="112" t="inlineStr">
        <is>
          <t>Flujo de Caja Operativo (CFO)</t>
        </is>
      </c>
      <c r="B12" s="113" t="n">
        <v>146724</v>
      </c>
      <c r="C12" s="113" t="n">
        <v>111482</v>
      </c>
      <c r="D12" s="113" t="n">
        <v>118254</v>
      </c>
      <c r="E12" s="113" t="n">
        <v>110543</v>
      </c>
      <c r="F12" s="113" t="n">
        <v>122151</v>
      </c>
      <c r="G12" s="113" t="n">
        <v>104038</v>
      </c>
      <c r="H12" s="113" t="n">
        <v>80674</v>
      </c>
      <c r="I12" s="113" t="n">
        <v>69391</v>
      </c>
      <c r="J12" s="113" t="n">
        <v>77434</v>
      </c>
      <c r="K12" s="113" t="n">
        <v>63598</v>
      </c>
      <c r="L12" s="113" t="n">
        <v>59713</v>
      </c>
    </row>
    <row r="13" ht="18.5" customHeight="1" s="105">
      <c r="A13" s="112" t="inlineStr">
        <is>
          <t>(-) Inversión de Capital (CapEx)</t>
        </is>
      </c>
      <c r="B13" s="113" t="n">
        <v>10041</v>
      </c>
      <c r="C13" s="113" t="n">
        <v>12715</v>
      </c>
      <c r="D13" s="113" t="n">
        <v>9447</v>
      </c>
      <c r="E13" s="113" t="n">
        <v>10959</v>
      </c>
      <c r="F13" s="113" t="n">
        <v>10708</v>
      </c>
      <c r="G13" s="113" t="n">
        <v>11085</v>
      </c>
      <c r="H13" s="113" t="n">
        <v>7309</v>
      </c>
      <c r="I13" s="113" t="n">
        <v>10495</v>
      </c>
      <c r="J13" s="113" t="n">
        <v>13313</v>
      </c>
      <c r="K13" s="113" t="n">
        <v>12451</v>
      </c>
      <c r="L13" s="113" t="n">
        <v>12734</v>
      </c>
    </row>
    <row r="14" ht="18.5" customHeight="1" s="105">
      <c r="A14" s="116" t="inlineStr">
        <is>
          <t>(=) Flujo de Caja Libre (Free Cash Flow)</t>
        </is>
      </c>
      <c r="B14" s="117" t="n">
        <v>136683</v>
      </c>
      <c r="C14" s="117" t="n">
        <v>98767</v>
      </c>
      <c r="D14" s="117" t="n">
        <v>108807</v>
      </c>
      <c r="E14" s="117" t="n">
        <v>99584</v>
      </c>
      <c r="F14" s="117" t="n">
        <v>111443</v>
      </c>
      <c r="G14" s="117" t="n">
        <v>92953</v>
      </c>
      <c r="H14" s="117" t="n">
        <v>73365</v>
      </c>
      <c r="I14" s="117" t="n">
        <v>58896</v>
      </c>
      <c r="J14" s="117" t="n">
        <v>64121</v>
      </c>
      <c r="K14" s="117" t="n">
        <v>51147</v>
      </c>
      <c r="L14" s="117" t="n">
        <v>46979</v>
      </c>
    </row>
    <row r="15" ht="10" customHeight="1" s="105"/>
    <row r="16" ht="18.5" customHeight="1" s="105">
      <c r="A16" s="112" t="inlineStr">
        <is>
          <t>Efectivo e Inversiones Líquidas</t>
        </is>
      </c>
      <c r="B16" s="113" t="n">
        <v>39544</v>
      </c>
      <c r="C16" s="113" t="n">
        <v>35934</v>
      </c>
      <c r="D16" s="113" t="n">
        <v>29943</v>
      </c>
      <c r="E16" s="113" t="n">
        <v>29965</v>
      </c>
      <c r="F16" s="113" t="n">
        <v>23646</v>
      </c>
      <c r="G16" s="113" t="n">
        <v>34940</v>
      </c>
      <c r="H16" s="113" t="n">
        <v>38016</v>
      </c>
      <c r="I16" s="113" t="n">
        <v>48844</v>
      </c>
      <c r="J16" s="113" t="n">
        <v>25913</v>
      </c>
      <c r="K16" s="113" t="n">
        <v>20289</v>
      </c>
      <c r="L16" s="113" t="n">
        <v>20484</v>
      </c>
    </row>
    <row r="17" ht="18.5" customHeight="1" s="105">
      <c r="A17" s="112" t="inlineStr">
        <is>
          <t>Deuda Financiera Total</t>
        </is>
      </c>
      <c r="B17" s="113" t="n">
        <v>82300</v>
      </c>
      <c r="C17" s="113" t="n">
        <v>90678</v>
      </c>
      <c r="D17" s="113" t="n">
        <v>96662</v>
      </c>
      <c r="E17" s="113" t="n">
        <v>105103</v>
      </c>
      <c r="F17" s="113" t="n">
        <v>98959</v>
      </c>
      <c r="G17" s="113" t="n">
        <v>109106</v>
      </c>
      <c r="H17" s="113" t="n">
        <v>98667</v>
      </c>
      <c r="I17" s="113" t="n">
        <v>91807</v>
      </c>
      <c r="J17" s="113" t="n">
        <v>93735</v>
      </c>
      <c r="K17" s="113" t="n">
        <v>97207</v>
      </c>
      <c r="L17" s="113" t="n">
        <v>75427</v>
      </c>
    </row>
    <row r="18" ht="18.5" customHeight="1" s="105">
      <c r="A18" s="118" t="inlineStr">
        <is>
          <t>Deuda Neta (Deuda Total - Caja)</t>
        </is>
      </c>
      <c r="B18" s="119" t="n">
        <v>42756</v>
      </c>
      <c r="C18" s="119" t="n">
        <v>54744</v>
      </c>
      <c r="D18" s="119" t="n">
        <v>66719</v>
      </c>
      <c r="E18" s="119" t="n">
        <v>75138</v>
      </c>
      <c r="F18" s="119" t="n">
        <v>75313</v>
      </c>
      <c r="G18" s="119" t="n">
        <v>74166</v>
      </c>
      <c r="H18" s="119" t="n">
        <v>60651</v>
      </c>
      <c r="I18" s="119" t="n">
        <v>42963</v>
      </c>
      <c r="J18" s="119" t="n">
        <v>67822</v>
      </c>
      <c r="K18" s="119" t="n">
        <v>76918</v>
      </c>
      <c r="L18" s="119" t="n">
        <v>54943</v>
      </c>
    </row>
    <row r="19" ht="18.5" customHeight="1" s="105">
      <c r="A19" s="114" t="inlineStr">
        <is>
          <t>Total Activos (Assets)</t>
        </is>
      </c>
      <c r="B19" s="115" t="n">
        <v>383266</v>
      </c>
      <c r="C19" s="115" t="n">
        <v>359241</v>
      </c>
      <c r="D19" s="115" t="n">
        <v>364980</v>
      </c>
      <c r="E19" s="115" t="n">
        <v>352583</v>
      </c>
      <c r="F19" s="115" t="n">
        <v>352755</v>
      </c>
      <c r="G19" s="115" t="n">
        <v>351002</v>
      </c>
      <c r="H19" s="115" t="n">
        <v>323888</v>
      </c>
      <c r="I19" s="115" t="n">
        <v>338516</v>
      </c>
      <c r="J19" s="115" t="n">
        <v>365725</v>
      </c>
      <c r="K19" s="115" t="n">
        <v>375319</v>
      </c>
      <c r="L19" s="115" t="n">
        <v>321686</v>
      </c>
    </row>
    <row r="20" ht="18.5" customHeight="1" s="105">
      <c r="A20" s="114" t="inlineStr">
        <is>
          <t>Patrimonio Neto (Stockholders Equity)</t>
        </is>
      </c>
      <c r="B20" s="115" t="n">
        <v>107520</v>
      </c>
      <c r="C20" s="115" t="n">
        <v>73733</v>
      </c>
      <c r="D20" s="115" t="n">
        <v>56950</v>
      </c>
      <c r="E20" s="115" t="n">
        <v>62146</v>
      </c>
      <c r="F20" s="115" t="n">
        <v>50672</v>
      </c>
      <c r="G20" s="115" t="n">
        <v>63090</v>
      </c>
      <c r="H20" s="115" t="n">
        <v>65339</v>
      </c>
      <c r="I20" s="115" t="n">
        <v>90488</v>
      </c>
      <c r="J20" s="115" t="n">
        <v>107147</v>
      </c>
      <c r="K20" s="115" t="n">
        <v>134047</v>
      </c>
      <c r="L20" s="115" t="n">
        <v>128249</v>
      </c>
    </row>
    <row r="21" ht="10" customHeight="1" s="105"/>
    <row r="22" ht="18.5" customHeight="1" s="105">
      <c r="A22" s="114" t="inlineStr">
        <is>
          <t>BPA Diluido Normalizado (Split-Adjusted) [$]</t>
        </is>
      </c>
      <c r="B22" s="120" t="n">
        <v>8.74</v>
      </c>
      <c r="C22" s="120" t="n">
        <v>7.46</v>
      </c>
      <c r="D22" s="120" t="n">
        <v>6.08</v>
      </c>
      <c r="E22" s="120" t="n">
        <v>6.13</v>
      </c>
      <c r="F22" s="120" t="n">
        <v>6.11</v>
      </c>
      <c r="G22" s="120" t="n">
        <v>5.61</v>
      </c>
      <c r="H22" s="120" t="n">
        <v>3.28</v>
      </c>
      <c r="I22" s="120" t="n">
        <v>2.97</v>
      </c>
      <c r="J22" s="120" t="n">
        <v>2.98</v>
      </c>
      <c r="K22" s="120" t="n">
        <v>2.3</v>
      </c>
      <c r="L22" s="120" t="n">
        <v>2.08</v>
      </c>
    </row>
    <row r="23" ht="18.5" customHeight="1" s="105">
      <c r="A23" s="112" t="inlineStr">
        <is>
          <t>BPA Diluido Oficial As-Reported [$]</t>
        </is>
      </c>
      <c r="B23" s="121" t="n">
        <v>8.74</v>
      </c>
      <c r="C23" s="121" t="n">
        <v>7.46</v>
      </c>
      <c r="D23" s="121" t="n">
        <v>6.08</v>
      </c>
      <c r="E23" s="121" t="n">
        <v>6.13</v>
      </c>
      <c r="F23" s="121" t="n">
        <v>6.11</v>
      </c>
      <c r="G23" s="121" t="n">
        <v>5.61</v>
      </c>
      <c r="H23" s="121" t="n">
        <v>3.28</v>
      </c>
      <c r="I23" s="121" t="n">
        <v>11.89</v>
      </c>
      <c r="J23" s="121" t="n">
        <v>11.91</v>
      </c>
      <c r="K23" s="121" t="n">
        <v>9.210000000000001</v>
      </c>
      <c r="L23" s="121" t="n">
        <v>8.31</v>
      </c>
    </row>
    <row r="24" ht="18.5" customHeight="1" s="105">
      <c r="A24" s="118" t="inlineStr">
        <is>
          <t>Acciones Diluidas Ajustadas (Millones)</t>
        </is>
      </c>
      <c r="B24" s="122" t="n">
        <v>14750.302</v>
      </c>
      <c r="C24" s="122" t="n">
        <v>15004.697</v>
      </c>
      <c r="D24" s="122" t="n">
        <v>15408.095</v>
      </c>
      <c r="E24" s="122" t="n">
        <v>15812.547</v>
      </c>
      <c r="F24" s="122" t="n">
        <v>16325.819</v>
      </c>
      <c r="G24" s="122" t="n">
        <v>16864.919</v>
      </c>
      <c r="H24" s="122" t="n">
        <v>17528.214</v>
      </c>
      <c r="I24" s="122" t="n">
        <v>18595.652</v>
      </c>
      <c r="J24" s="122" t="n">
        <v>20000.436</v>
      </c>
      <c r="K24" s="122" t="n">
        <v>21006.768</v>
      </c>
      <c r="L24" s="122" t="n">
        <v>22001.124</v>
      </c>
    </row>
    <row r="25" ht="18.5" customHeight="1" s="105">
      <c r="A25" s="112" t="inlineStr">
        <is>
          <t>Acciones Diluidas As-Reported (Millones)</t>
        </is>
      </c>
      <c r="B25" s="123" t="n">
        <v>14750.302</v>
      </c>
      <c r="C25" s="123" t="n">
        <v>15004.697</v>
      </c>
      <c r="D25" s="123" t="n">
        <v>15408.095</v>
      </c>
      <c r="E25" s="123" t="n">
        <v>15812.547</v>
      </c>
      <c r="F25" s="123" t="n">
        <v>16325.819</v>
      </c>
      <c r="G25" s="123" t="n">
        <v>16864.919</v>
      </c>
      <c r="H25" s="123" t="n">
        <v>17528.214</v>
      </c>
      <c r="I25" s="123" t="n">
        <v>4648.913</v>
      </c>
      <c r="J25" s="123" t="n">
        <v>5000.109</v>
      </c>
      <c r="K25" s="123" t="n">
        <v>5251.692</v>
      </c>
      <c r="L25" s="123" t="n">
        <v>5500.281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showGridLines="1"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50" customWidth="1" style="105" min="1" max="1"/>
    <col width="14.5" customWidth="1" style="105" min="2" max="2"/>
    <col width="14.5" customWidth="1" style="105" min="3" max="3"/>
    <col width="14.5" customWidth="1" style="105" min="4" max="4"/>
    <col width="14.5" customWidth="1" style="105" min="5" max="5"/>
    <col width="14.5" customWidth="1" style="105" min="6" max="6"/>
    <col width="14.5" customWidth="1" style="105" min="7" max="7"/>
    <col width="14.5" customWidth="1" style="105" min="8" max="8"/>
    <col width="14.5" customWidth="1" style="105" min="9" max="9"/>
    <col width="14.5" customWidth="1" style="105" min="10" max="10"/>
    <col width="14.5" customWidth="1" style="105" min="11" max="11"/>
    <col width="14.5" customWidth="1" style="105" min="12" max="12"/>
  </cols>
  <sheetData>
    <row r="1" ht="30" customHeight="1" s="105">
      <c r="A1" s="107" t="inlineStr">
        <is>
          <t>Apple Inc. (AAPL) - Ratios Financieros y Retornos</t>
        </is>
      </c>
    </row>
    <row r="2" ht="18" customHeight="1" s="105">
      <c r="A2" s="108" t="inlineStr">
        <is>
          <t>Márgenes y Retornos expresados en porcentaje (%), Múltiplos en (x) | Fuente: SEC EDGAR</t>
        </is>
      </c>
    </row>
    <row r="3" ht="8" customHeight="1" s="105"/>
    <row r="4" ht="25" customHeight="1" s="105">
      <c r="A4" s="109" t="inlineStr">
        <is>
          <t>Ratio Financiero / Métrica</t>
        </is>
      </c>
      <c r="B4" s="110" t="inlineStr">
        <is>
          <t>LTM</t>
        </is>
      </c>
      <c r="C4" s="111" t="inlineStr">
        <is>
          <t>FY2025</t>
        </is>
      </c>
      <c r="D4" s="111" t="inlineStr">
        <is>
          <t>FY2024</t>
        </is>
      </c>
      <c r="E4" s="111" t="inlineStr">
        <is>
          <t>FY2023</t>
        </is>
      </c>
      <c r="F4" s="111" t="inlineStr">
        <is>
          <t>FY2022</t>
        </is>
      </c>
      <c r="G4" s="111" t="inlineStr">
        <is>
          <t>FY2021</t>
        </is>
      </c>
      <c r="H4" s="111" t="inlineStr">
        <is>
          <t>FY2020</t>
        </is>
      </c>
      <c r="I4" s="111" t="inlineStr">
        <is>
          <t>FY2019</t>
        </is>
      </c>
      <c r="J4" s="111" t="inlineStr">
        <is>
          <t>FY2018</t>
        </is>
      </c>
      <c r="K4" s="111" t="inlineStr">
        <is>
          <t>FY2017</t>
        </is>
      </c>
      <c r="L4" s="111" t="inlineStr">
        <is>
          <t>FY2016</t>
        </is>
      </c>
    </row>
    <row r="5" ht="22" customHeight="1" s="105">
      <c r="A5" s="124" t="inlineStr">
        <is>
          <t>MÁRGENES DE RENTABILIDAD</t>
        </is>
      </c>
      <c r="B5" s="125" t="n"/>
      <c r="C5" s="125" t="n"/>
      <c r="D5" s="125" t="n"/>
      <c r="E5" s="125" t="n"/>
      <c r="F5" s="125" t="n"/>
      <c r="G5" s="125" t="n"/>
      <c r="H5" s="125" t="n"/>
      <c r="I5" s="125" t="n"/>
      <c r="J5" s="125" t="n"/>
      <c r="K5" s="125" t="n"/>
      <c r="L5" s="125" t="n"/>
    </row>
    <row r="6" ht="18.5" customHeight="1" s="105">
      <c r="A6" s="112" t="inlineStr">
        <is>
          <t xml:space="preserve">   Margen Bruto (Gross Margin)</t>
        </is>
      </c>
      <c r="B6" s="126" t="n">
        <v>0.4865</v>
      </c>
      <c r="C6" s="126" t="n">
        <v>0.4691</v>
      </c>
      <c r="D6" s="126" t="n">
        <v>0.4621</v>
      </c>
      <c r="E6" s="126" t="n">
        <v>0.4413</v>
      </c>
      <c r="F6" s="126" t="n">
        <v>0.4331</v>
      </c>
      <c r="G6" s="126" t="n">
        <v>0.4178</v>
      </c>
      <c r="H6" s="126" t="n">
        <v>0.3823</v>
      </c>
      <c r="I6" s="126" t="n">
        <v>0.3782</v>
      </c>
      <c r="J6" s="126" t="n">
        <v>0.3834</v>
      </c>
      <c r="K6" s="126" t="n">
        <v>0.3847</v>
      </c>
      <c r="L6" s="126" t="n">
        <v>0.3908</v>
      </c>
    </row>
    <row r="7" ht="18.5" customHeight="1" s="105">
      <c r="A7" s="112" t="inlineStr">
        <is>
          <t xml:space="preserve">   Margen Operativo (Operating Margin)</t>
        </is>
      </c>
      <c r="B7" s="126" t="n">
        <v>0.3317</v>
      </c>
      <c r="C7" s="126" t="n">
        <v>0.3197</v>
      </c>
      <c r="D7" s="126" t="n">
        <v>0.3151</v>
      </c>
      <c r="E7" s="126" t="n">
        <v>0.2982</v>
      </c>
      <c r="F7" s="126" t="n">
        <v>0.3029</v>
      </c>
      <c r="G7" s="126" t="n">
        <v>0.2978</v>
      </c>
      <c r="H7" s="126" t="n">
        <v>0.2415</v>
      </c>
      <c r="I7" s="126" t="n">
        <v>0.2457</v>
      </c>
      <c r="J7" s="126" t="n">
        <v>0.2669</v>
      </c>
      <c r="K7" s="126" t="n">
        <v>0.2676</v>
      </c>
      <c r="L7" s="126" t="n">
        <v>0.2784</v>
      </c>
    </row>
    <row r="8" ht="18.5" customHeight="1" s="105">
      <c r="A8" s="112" t="inlineStr">
        <is>
          <t xml:space="preserve">   Margen Neto (Net Margin)</t>
        </is>
      </c>
      <c r="B8" s="126" t="n">
        <v>0.2762</v>
      </c>
      <c r="C8" s="126" t="n">
        <v>0.2692</v>
      </c>
      <c r="D8" s="126" t="n">
        <v>0.2397</v>
      </c>
      <c r="E8" s="126" t="n">
        <v>0.2531</v>
      </c>
      <c r="F8" s="126" t="n">
        <v>0.2531</v>
      </c>
      <c r="G8" s="126" t="n">
        <v>0.2588</v>
      </c>
      <c r="H8" s="126" t="n">
        <v>0.2091</v>
      </c>
      <c r="I8" s="126" t="n">
        <v>0.2124</v>
      </c>
      <c r="J8" s="126" t="n">
        <v>0.2241</v>
      </c>
      <c r="K8" s="126" t="n">
        <v>0.2109</v>
      </c>
      <c r="L8" s="126" t="n">
        <v>0.2119</v>
      </c>
    </row>
    <row r="9" ht="18.5" customHeight="1" s="105">
      <c r="A9" s="112" t="inlineStr">
        <is>
          <t xml:space="preserve">   Margen de Flujo de Caja Libre (FCF Margin)</t>
        </is>
      </c>
      <c r="B9" s="126" t="n">
        <v>0.2928</v>
      </c>
      <c r="C9" s="126" t="n">
        <v>0.2373</v>
      </c>
      <c r="D9" s="126" t="n">
        <v>0.2783</v>
      </c>
      <c r="E9" s="126" t="n">
        <v>0.2598</v>
      </c>
      <c r="F9" s="126" t="n">
        <v>0.2826</v>
      </c>
      <c r="G9" s="126" t="n">
        <v>0.2541</v>
      </c>
      <c r="H9" s="126" t="n">
        <v>0.2673</v>
      </c>
      <c r="I9" s="126" t="n">
        <v>0.2264</v>
      </c>
      <c r="J9" s="126" t="n">
        <v>0.2414</v>
      </c>
      <c r="K9" s="126" t="n">
        <v>0.2231</v>
      </c>
      <c r="L9" s="126" t="n">
        <v>0.2179</v>
      </c>
    </row>
    <row r="10" ht="18.5" customHeight="1" s="105">
      <c r="A10" s="112" t="inlineStr">
        <is>
          <t xml:space="preserve">   Conversión de Beneficio a FCF (FCF / Net Income)</t>
        </is>
      </c>
      <c r="B10" s="126" t="n">
        <v>1.0601</v>
      </c>
      <c r="C10" s="126" t="n">
        <v>0.8818</v>
      </c>
      <c r="D10" s="126" t="n">
        <v>1.1608</v>
      </c>
      <c r="E10" s="126" t="n">
        <v>1.0267</v>
      </c>
      <c r="F10" s="126" t="n">
        <v>1.1166</v>
      </c>
      <c r="G10" s="126" t="n">
        <v>0.9818000000000001</v>
      </c>
      <c r="H10" s="126" t="n">
        <v>1.2779</v>
      </c>
      <c r="I10" s="126" t="n">
        <v>1.0659</v>
      </c>
      <c r="J10" s="126" t="n">
        <v>1.0771</v>
      </c>
      <c r="K10" s="126" t="n">
        <v>1.0578</v>
      </c>
      <c r="L10" s="126" t="n">
        <v>1.0283</v>
      </c>
    </row>
    <row r="11" ht="10" customHeight="1" s="105"/>
    <row r="12" ht="22" customHeight="1" s="105">
      <c r="A12" s="124" t="inlineStr">
        <is>
          <t>RETORNOS SOBRE EL CAPITAL</t>
        </is>
      </c>
      <c r="B12" s="125" t="n"/>
      <c r="C12" s="125" t="n"/>
      <c r="D12" s="125" t="n"/>
      <c r="E12" s="125" t="n"/>
      <c r="F12" s="125" t="n"/>
      <c r="G12" s="125" t="n"/>
      <c r="H12" s="125" t="n"/>
      <c r="I12" s="125" t="n"/>
      <c r="J12" s="125" t="n"/>
      <c r="K12" s="125" t="n"/>
      <c r="L12" s="125" t="n"/>
    </row>
    <row r="13" ht="18.5" customHeight="1" s="105">
      <c r="A13" s="112" t="inlineStr">
        <is>
          <t xml:space="preserve">   Retorno sobre Patrimonio (ROE = Net Income / Equity Promedio)</t>
        </is>
      </c>
      <c r="B13" s="126" t="n">
        <v>1.4227</v>
      </c>
      <c r="C13" s="126" t="n">
        <v>1.7142</v>
      </c>
      <c r="D13" s="126" t="n">
        <v>1.5741</v>
      </c>
      <c r="E13" s="126" t="n">
        <v>1.7195</v>
      </c>
      <c r="F13" s="126" t="n">
        <v>1.7546</v>
      </c>
      <c r="G13" s="126" t="n">
        <v>1.4744</v>
      </c>
      <c r="H13" s="126" t="n">
        <v>0.7369</v>
      </c>
      <c r="I13" s="126" t="n">
        <v>0.5592</v>
      </c>
      <c r="J13" s="126" t="n">
        <v>0.4936</v>
      </c>
      <c r="K13" s="126" t="n">
        <v>0.3687</v>
      </c>
      <c r="L13" s="126" t="n">
        <v>0.3562</v>
      </c>
    </row>
    <row r="14" ht="18.5" customHeight="1" s="105">
      <c r="A14" s="112" t="inlineStr">
        <is>
          <t xml:space="preserve">   Retorno sobre Activos (ROA = Net Income / Assets Promedio)</t>
        </is>
      </c>
      <c r="B14" s="126" t="n">
        <v>0.3472999999999999</v>
      </c>
      <c r="C14" s="126" t="n">
        <v>0.3093</v>
      </c>
      <c r="D14" s="126" t="n">
        <v>0.2613</v>
      </c>
      <c r="E14" s="126" t="n">
        <v>0.275</v>
      </c>
      <c r="F14" s="126" t="n">
        <v>0.2836</v>
      </c>
      <c r="G14" s="126" t="n">
        <v>0.2806</v>
      </c>
      <c r="H14" s="126" t="n">
        <v>0.1733</v>
      </c>
      <c r="I14" s="126" t="n">
        <v>0.1569</v>
      </c>
      <c r="J14" s="126" t="n">
        <v>0.1607</v>
      </c>
      <c r="K14" s="126" t="n">
        <v>0.1387</v>
      </c>
      <c r="L14" s="126" t="n">
        <v>0.142</v>
      </c>
    </row>
    <row r="15" ht="18.5" customHeight="1" s="105">
      <c r="A15" s="112" t="inlineStr">
        <is>
          <t xml:space="preserve">   Retorno sobre Capital Tangible (ROC Greenblatt = EBIT / Capital Tangible Promedio)</t>
        </is>
      </c>
      <c r="B15" s="126" t="n">
        <v>3.058490100232065</v>
      </c>
      <c r="C15" s="126" t="n">
        <v>2.785979018782586</v>
      </c>
      <c r="D15" s="126" t="n">
        <v>2.756664242966609</v>
      </c>
      <c r="E15" s="126" t="n">
        <v>2.663365644514866</v>
      </c>
      <c r="F15" s="126" t="n">
        <v>2.928920877423152</v>
      </c>
      <c r="G15" s="126" t="n">
        <v>2.554969279114488</v>
      </c>
      <c r="H15" s="126" t="n">
        <v>1.303099106537316</v>
      </c>
      <c r="I15" s="126" t="n">
        <v>1.315445632156709</v>
      </c>
      <c r="J15" s="126" t="n">
        <v>1.590978962131837</v>
      </c>
      <c r="K15" s="126" t="n">
        <v>1.431431571578579</v>
      </c>
      <c r="L15" s="126" t="n">
        <v>1.584206497928158</v>
      </c>
    </row>
    <row r="16" ht="10" customHeight="1" s="105"/>
    <row r="17" ht="22" customHeight="1" s="105">
      <c r="A17" s="124" t="inlineStr">
        <is>
          <t>LIQUIDEZ Y APALANCAMIENTO</t>
        </is>
      </c>
      <c r="B17" s="125" t="n"/>
      <c r="C17" s="125" t="n"/>
      <c r="D17" s="125" t="n"/>
      <c r="E17" s="125" t="n"/>
      <c r="F17" s="125" t="n"/>
      <c r="G17" s="125" t="n"/>
      <c r="H17" s="125" t="n"/>
      <c r="I17" s="125" t="n"/>
      <c r="J17" s="125" t="n"/>
      <c r="K17" s="125" t="n"/>
      <c r="L17" s="125" t="n"/>
    </row>
    <row r="18" ht="18.5" customHeight="1" s="105">
      <c r="A18" s="112" t="inlineStr">
        <is>
          <t xml:space="preserve">   Ratio de Liquidez Corriente (Current Ratio)</t>
        </is>
      </c>
      <c r="B18" s="127" t="n">
        <v>1</v>
      </c>
      <c r="C18" s="127" t="n">
        <v>0.89</v>
      </c>
      <c r="D18" s="127" t="n">
        <v>0.87</v>
      </c>
      <c r="E18" s="127" t="n">
        <v>0.99</v>
      </c>
      <c r="F18" s="127" t="n">
        <v>0.88</v>
      </c>
      <c r="G18" s="127" t="n">
        <v>1.07</v>
      </c>
      <c r="H18" s="127" t="n">
        <v>1.36</v>
      </c>
      <c r="I18" s="127" t="n">
        <v>1.54</v>
      </c>
      <c r="J18" s="127" t="n">
        <v>1.12</v>
      </c>
      <c r="K18" s="127" t="n">
        <v>1.28</v>
      </c>
      <c r="L18" s="127" t="n">
        <v>1.35</v>
      </c>
    </row>
    <row r="19" ht="18.5" customHeight="1" s="105">
      <c r="A19" s="112" t="inlineStr">
        <is>
          <t xml:space="preserve">   Deuda sobre Patrimonio (Debt to Equity)</t>
        </is>
      </c>
      <c r="B19" s="127" t="n">
        <v>0.77</v>
      </c>
      <c r="C19" s="127" t="n">
        <v>1.23</v>
      </c>
      <c r="D19" s="127" t="n">
        <v>1.7</v>
      </c>
      <c r="E19" s="127" t="n">
        <v>1.69</v>
      </c>
      <c r="F19" s="127" t="n">
        <v>1.95</v>
      </c>
      <c r="G19" s="127" t="n">
        <v>1.73</v>
      </c>
      <c r="H19" s="127" t="n">
        <v>1.51</v>
      </c>
      <c r="I19" s="127" t="n">
        <v>1.01</v>
      </c>
      <c r="J19" s="127" t="n">
        <v>0.87</v>
      </c>
      <c r="K19" s="127" t="n">
        <v>0.73</v>
      </c>
      <c r="L19" s="127" t="n">
        <v>0.59</v>
      </c>
    </row>
    <row r="20" ht="10" customHeight="1" s="105"/>
    <row r="21" ht="22" customHeight="1" s="105">
      <c r="A21" s="124" t="inlineStr">
        <is>
          <t>PRODUCTIVIDAD PURA DEL CAPITAL (NOVY-MARX DUPONT)</t>
        </is>
      </c>
      <c r="B21" s="125" t="n"/>
      <c r="C21" s="125" t="n"/>
      <c r="D21" s="125" t="n"/>
      <c r="E21" s="125" t="n"/>
      <c r="F21" s="125" t="n"/>
      <c r="G21" s="125" t="n"/>
      <c r="H21" s="125" t="n"/>
      <c r="I21" s="125" t="n"/>
      <c r="J21" s="125" t="n"/>
      <c r="K21" s="125" t="n"/>
      <c r="L21" s="125" t="n"/>
    </row>
    <row r="22" ht="18.5" customHeight="1" s="105">
      <c r="A22" s="112" t="inlineStr">
        <is>
          <t xml:space="preserve">   Gross Profitability (Activos Totales)</t>
        </is>
      </c>
      <c r="B22" s="126" t="n">
        <v>0.5925988738891527</v>
      </c>
      <c r="C22" s="126" t="n">
        <v>0.5433706063617461</v>
      </c>
      <c r="D22" s="126" t="n">
        <v>0.495049043783221</v>
      </c>
      <c r="E22" s="126" t="n">
        <v>0.4797395223252398</v>
      </c>
      <c r="F22" s="126" t="n">
        <v>0.484137715978512</v>
      </c>
      <c r="G22" s="126" t="n">
        <v>0.4354277183605791</v>
      </c>
      <c r="H22" s="126" t="n">
        <v>0.3240502889887862</v>
      </c>
      <c r="I22" s="126" t="n">
        <v>0.2906568670313959</v>
      </c>
      <c r="J22" s="126" t="n">
        <v>0.2784578576799508</v>
      </c>
      <c r="K22" s="126" t="n">
        <v>0.2349627916519015</v>
      </c>
      <c r="L22" s="126" t="n">
        <v>0.2619417693029849</v>
      </c>
    </row>
    <row r="23" ht="18.5" customHeight="1" s="105">
      <c r="A23" s="112" t="inlineStr">
        <is>
          <t xml:space="preserve">   Gross Profitability Operativa (Ex-Caja)</t>
        </is>
      </c>
      <c r="B23" s="126" t="n">
        <v>0.6607752776953468</v>
      </c>
      <c r="C23" s="126" t="n">
        <v>0.6037636054895192</v>
      </c>
      <c r="D23" s="126" t="n">
        <v>0.5392926751373729</v>
      </c>
      <c r="E23" s="126" t="n">
        <v>0.5242980862816086</v>
      </c>
      <c r="F23" s="126" t="n">
        <v>0.5189223023375235</v>
      </c>
      <c r="G23" s="126" t="n">
        <v>0.483563351494327</v>
      </c>
      <c r="H23" s="126" t="n">
        <v>0.3671433368780433</v>
      </c>
      <c r="I23" s="126" t="n">
        <v>0.3396669336352841</v>
      </c>
      <c r="J23" s="126" t="n">
        <v>0.2996921827363366</v>
      </c>
      <c r="K23" s="126" t="n">
        <v>0.2483902768780103</v>
      </c>
      <c r="L23" s="126" t="n">
        <v>0.2797557785140869</v>
      </c>
    </row>
    <row r="24" ht="18.5" customHeight="1" s="105">
      <c r="A24" s="112" t="inlineStr">
        <is>
          <t xml:space="preserve">   Efecto Arrastre de Caja (Cash Drag)</t>
        </is>
      </c>
      <c r="B24" s="126" t="n">
        <v>0.06817640380619416</v>
      </c>
      <c r="C24" s="126" t="n">
        <v>0.06039299912777318</v>
      </c>
      <c r="D24" s="126" t="n">
        <v>0.04424363135415188</v>
      </c>
      <c r="E24" s="126" t="n">
        <v>0.04455856395636881</v>
      </c>
      <c r="F24" s="126" t="n">
        <v>0.03478458635901144</v>
      </c>
      <c r="G24" s="126" t="n">
        <v>0.04813563313374791</v>
      </c>
      <c r="H24" s="126" t="n">
        <v>0.04309304788925711</v>
      </c>
      <c r="I24" s="126" t="n">
        <v>0.04901006660388818</v>
      </c>
      <c r="J24" s="126" t="n">
        <v>0.02123432505638578</v>
      </c>
      <c r="K24" s="126" t="n">
        <v>0.01342748522610884</v>
      </c>
      <c r="L24" s="126" t="n">
        <v>0.01781400921110199</v>
      </c>
    </row>
    <row r="25" ht="18.5" customHeight="1" s="105">
      <c r="A25" s="112" t="inlineStr">
        <is>
          <t xml:space="preserve">   Margen Bruto de Utilidad (DuPont)</t>
        </is>
      </c>
      <c r="B25" s="126" t="n">
        <v>0.4865</v>
      </c>
      <c r="C25" s="126" t="n">
        <v>0.4691</v>
      </c>
      <c r="D25" s="126" t="n">
        <v>0.4621</v>
      </c>
      <c r="E25" s="126" t="n">
        <v>0.4413</v>
      </c>
      <c r="F25" s="126" t="n">
        <v>0.4331</v>
      </c>
      <c r="G25" s="126" t="n">
        <v>0.4178</v>
      </c>
      <c r="H25" s="126" t="n">
        <v>0.3823</v>
      </c>
      <c r="I25" s="126" t="n">
        <v>0.3782</v>
      </c>
      <c r="J25" s="126" t="n">
        <v>0.3834</v>
      </c>
      <c r="K25" s="126" t="n">
        <v>0.3847</v>
      </c>
      <c r="L25" s="126" t="n">
        <v>0.3908</v>
      </c>
    </row>
    <row r="26" ht="18.5" customHeight="1" s="105">
      <c r="A26" s="112" t="inlineStr">
        <is>
          <t xml:space="preserve">   Rotación de Activos Totales (DuPont)</t>
        </is>
      </c>
      <c r="B26" s="127" t="n">
        <v>1.218013077079626</v>
      </c>
      <c r="C26" s="127" t="n">
        <v>1.158445166336804</v>
      </c>
      <c r="D26" s="127" t="n">
        <v>1.071387473286207</v>
      </c>
      <c r="E26" s="127" t="n">
        <v>1.087077369016657</v>
      </c>
      <c r="F26" s="127" t="n">
        <v>1.117852333772732</v>
      </c>
      <c r="G26" s="127" t="n">
        <v>1.042207736708053</v>
      </c>
      <c r="H26" s="127" t="n">
        <v>0.8475615027416885</v>
      </c>
      <c r="I26" s="127" t="n">
        <v>0.7685722388306608</v>
      </c>
      <c r="J26" s="127" t="n">
        <v>0.7262150522933899</v>
      </c>
      <c r="K26" s="127" t="n">
        <v>0.6107711040474902</v>
      </c>
      <c r="L26" s="127" t="n">
        <v>0.670340021014281</v>
      </c>
    </row>
    <row r="27" ht="18.5" customHeight="1" s="105">
      <c r="A27" s="112" t="inlineStr">
        <is>
          <t xml:space="preserve">   Rotación de Activos Operativos (Ex-Caja)</t>
        </is>
      </c>
      <c r="B27" s="127" t="n">
        <v>1.358141172226392</v>
      </c>
      <c r="C27" s="127" t="n">
        <v>1.287200710160931</v>
      </c>
      <c r="D27" s="127" t="n">
        <v>1.167139748744169</v>
      </c>
      <c r="E27" s="127" t="n">
        <v>1.188045924281968</v>
      </c>
      <c r="F27" s="127" t="n">
        <v>1.198168387980882</v>
      </c>
      <c r="G27" s="127" t="n">
        <v>1.157421645120261</v>
      </c>
      <c r="H27" s="127" t="n">
        <v>0.9602724296188504</v>
      </c>
      <c r="I27" s="127" t="n">
        <v>0.8981675826451987</v>
      </c>
      <c r="J27" s="127" t="n">
        <v>0.781593940178687</v>
      </c>
      <c r="K27" s="127" t="n">
        <v>0.645675013379151</v>
      </c>
      <c r="L27" s="127" t="n">
        <v>0.715928181087775</v>
      </c>
    </row>
    <row r="28" ht="10" customHeight="1" s="105"/>
    <row r="29" ht="22" customHeight="1" s="105">
      <c r="A29" s="124" t="inlineStr">
        <is>
          <t>RENDIMIENTO DEL CAPITAL Y CREACIÓN DE VALOR (ROIC AJUSTADO VS WACC)</t>
        </is>
      </c>
      <c r="B29" s="125" t="n"/>
      <c r="C29" s="125" t="n"/>
      <c r="D29" s="125" t="n"/>
      <c r="E29" s="125" t="n"/>
      <c r="F29" s="125" t="n"/>
      <c r="G29" s="125" t="n"/>
      <c r="H29" s="125" t="n"/>
      <c r="I29" s="125" t="n"/>
      <c r="J29" s="125" t="n"/>
      <c r="K29" s="125" t="n"/>
      <c r="L29" s="125" t="n"/>
    </row>
    <row r="30" ht="18.5" customHeight="1" s="105">
      <c r="A30" s="112" t="inlineStr">
        <is>
          <t xml:space="preserve">   ROIC Tradicional (NOPAT / Cap. Invertido)</t>
        </is>
      </c>
      <c r="B30" s="126" t="n">
        <v>0.6822283820473294</v>
      </c>
      <c r="C30" s="126" t="n">
        <v>0.6612868835748713</v>
      </c>
      <c r="D30" s="126" t="n">
        <v>0.5244445737776701</v>
      </c>
      <c r="E30" s="126" t="n">
        <v>0.5221222842017081</v>
      </c>
      <c r="F30" s="126" t="n">
        <v>0.5179616306315918</v>
      </c>
      <c r="G30" s="126" t="n">
        <v>0.4850792011902916</v>
      </c>
      <c r="H30" s="126" t="n">
        <v>0.2958474036242692</v>
      </c>
      <c r="I30" s="126" t="n">
        <v>0.2523200473820621</v>
      </c>
      <c r="J30" s="126" t="n">
        <v>0.2351292567374541</v>
      </c>
      <c r="K30" s="126" t="n">
        <v>0.1902932323083798</v>
      </c>
      <c r="L30" s="126" t="n">
        <v>0.1979809647911296</v>
      </c>
    </row>
    <row r="31" ht="18.5" customHeight="1" s="105">
      <c r="A31" s="112" t="inlineStr">
        <is>
          <t xml:space="preserve">   ROIC Ajustado por Intangibles (Damodaran)</t>
        </is>
      </c>
      <c r="B31" s="126" t="n">
        <v>0.5271515777749817</v>
      </c>
      <c r="C31" s="126" t="n">
        <v>0.4814832776622539</v>
      </c>
      <c r="D31" s="126" t="n">
        <v>0.4004001015748331</v>
      </c>
      <c r="E31" s="126" t="n">
        <v>0.4255233137854052</v>
      </c>
      <c r="F31" s="126" t="n">
        <v>0.4372866050607048</v>
      </c>
      <c r="G31" s="126" t="n">
        <v>0.4195646021908112</v>
      </c>
      <c r="H31" s="126" t="n">
        <v>0.2681909924861339</v>
      </c>
      <c r="I31" s="126" t="n">
        <v>0.244671417610036</v>
      </c>
      <c r="J31" s="126" t="n">
        <v>0.2413479785124696</v>
      </c>
      <c r="K31" s="126" t="n">
        <v>0.2060742328226718</v>
      </c>
      <c r="L31" s="126" t="n">
        <v>0.2212652246556841</v>
      </c>
    </row>
    <row r="32" ht="18.5" customHeight="1" s="105">
      <c r="A32" s="112" t="inlineStr">
        <is>
          <t xml:space="preserve">   Stock de Intangibles Capitalizados ($M)</t>
        </is>
      </c>
      <c r="B32" s="142" t="n">
        <v>79597.75</v>
      </c>
      <c r="C32" s="142" t="n">
        <v>79597.75</v>
      </c>
      <c r="D32" s="142" t="n">
        <v>72410.25</v>
      </c>
      <c r="E32" s="142" t="n">
        <v>65248.25</v>
      </c>
      <c r="F32" s="142" t="n">
        <v>56116.75</v>
      </c>
      <c r="G32" s="142" t="n">
        <v>47645.5</v>
      </c>
      <c r="H32" s="142" t="n">
        <v>40928</v>
      </c>
      <c r="I32" s="142" t="n">
        <v>35195.75</v>
      </c>
      <c r="J32" s="142" t="n">
        <v>27944.25</v>
      </c>
      <c r="K32" s="142" t="n">
        <v>19114.75</v>
      </c>
      <c r="L32" s="142" t="n">
        <v>10045</v>
      </c>
    </row>
    <row r="33" ht="18.5" customHeight="1" s="105">
      <c r="A33" s="112" t="inlineStr">
        <is>
          <t xml:space="preserve">   Capital Invertido Reconstituido Promedio ($M)</t>
        </is>
      </c>
      <c r="B33" s="142" t="n">
        <v>267312.25</v>
      </c>
      <c r="C33" s="142" t="n">
        <v>245795.5</v>
      </c>
      <c r="D33" s="142" t="n">
        <v>247173.75</v>
      </c>
      <c r="E33" s="142" t="n">
        <v>247376</v>
      </c>
      <c r="F33" s="142" t="n">
        <v>245105.625</v>
      </c>
      <c r="G33" s="142" t="n">
        <v>239010.25</v>
      </c>
      <c r="H33" s="142" t="n">
        <v>229795.375</v>
      </c>
      <c r="I33" s="142" t="n">
        <v>244542</v>
      </c>
      <c r="J33" s="142" t="n">
        <v>269750.5</v>
      </c>
      <c r="K33" s="142" t="n">
        <v>257783.875</v>
      </c>
      <c r="L33" s="142" t="n">
        <v>235741</v>
      </c>
    </row>
    <row r="34" ht="18.5" customHeight="1" s="105">
      <c r="A34" s="112" t="inlineStr">
        <is>
          <t xml:space="preserve">   Costo Promedio Ponderado de Capital (WACC)</t>
        </is>
      </c>
      <c r="B34" s="126" t="n">
        <v>0.1002171246337397</v>
      </c>
      <c r="C34" s="126" t="n">
        <v>0.1002171246337397</v>
      </c>
      <c r="D34" s="126" t="n">
        <v>0.1002171246337397</v>
      </c>
      <c r="E34" s="126" t="n">
        <v>0.1002171246337397</v>
      </c>
      <c r="F34" s="126" t="n">
        <v>0.1002171246337397</v>
      </c>
      <c r="G34" s="126" t="n">
        <v>0.1002171246337397</v>
      </c>
      <c r="H34" s="126" t="n">
        <v>0.1002171246337397</v>
      </c>
      <c r="I34" s="126" t="n">
        <v>0.1002171246337397</v>
      </c>
      <c r="J34" s="126" t="n">
        <v>0.1002171246337397</v>
      </c>
      <c r="K34" s="126" t="n">
        <v>0.1002171246337397</v>
      </c>
      <c r="L34" s="126" t="n">
        <v>0.1002171246337397</v>
      </c>
    </row>
    <row r="35" ht="18.5" customHeight="1" s="105">
      <c r="A35" s="112" t="inlineStr">
        <is>
          <t xml:space="preserve">   Spread Económico (ROIC Ajustado - WACC)</t>
        </is>
      </c>
      <c r="B35" s="155" t="n">
        <v>0.4269344531412419</v>
      </c>
      <c r="C35" s="155" t="n">
        <v>0.3812661530285141</v>
      </c>
      <c r="D35" s="155" t="n">
        <v>0.3001829769410933</v>
      </c>
      <c r="E35" s="155" t="n">
        <v>0.3253061891516655</v>
      </c>
      <c r="F35" s="155" t="n">
        <v>0.3370694804269651</v>
      </c>
      <c r="G35" s="155" t="n">
        <v>0.3193474775570714</v>
      </c>
      <c r="H35" s="155" t="n">
        <v>0.1679738678523942</v>
      </c>
      <c r="I35" s="155" t="n">
        <v>0.1444542929762963</v>
      </c>
      <c r="J35" s="155" t="n">
        <v>0.1411308538787299</v>
      </c>
      <c r="K35" s="155" t="n">
        <v>0.1058571081889321</v>
      </c>
      <c r="L35" s="155" t="n">
        <v>0.1210481000219444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35"/>
  <sheetViews>
    <sheetView showGridLines="1" workbookViewId="0">
      <pane xSplit="1" ySplit="4" topLeftCell="B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10" defaultColWidth="9.140625" defaultRowHeight="15"/>
  <cols>
    <col width="50" customWidth="1" style="105" min="1" max="1"/>
    <col width="14.5" customWidth="1" style="105" min="2" max="2"/>
    <col width="14.5" customWidth="1" style="105" min="3" max="4"/>
    <col width="14.5" customWidth="1" style="105" min="4" max="4"/>
    <col width="14.5" customWidth="1" style="105" min="5" max="6"/>
    <col width="14.5" customWidth="1" style="105" min="6" max="6"/>
    <col width="14.5" customWidth="1" style="105" min="7" max="9"/>
    <col width="14.5" customWidth="1" style="105" min="8" max="8"/>
    <col width="14.5" customWidth="1" style="105" min="9" max="9"/>
    <col width="14.5" customWidth="1" style="105" min="10" max="10"/>
    <col width="14.5" customWidth="1" style="105" min="11" max="11"/>
    <col width="14.5" customWidth="1" style="105" min="12" max="12"/>
  </cols>
  <sheetData>
    <row r="1" ht="30" customHeight="1" s="105">
      <c r="A1" s="1" t="inlineStr">
        <is>
          <t>Apple Inc. (AAPL) - Estado de Resultados Oficial</t>
        </is>
      </c>
    </row>
    <row r="2" ht="18" customHeight="1" s="105">
      <c r="A2" s="2" t="inlineStr">
        <is>
          <t>Cifras expresadas en Millones de USD ($M), salvo BPA | US-GAAP Auditado</t>
        </is>
      </c>
    </row>
    <row r="3" ht="8" customHeight="1" s="105"/>
    <row r="4" ht="24.95" customHeight="1" s="105">
      <c r="A4" s="3" t="inlineStr">
        <is>
          <t>Concepto Contable</t>
        </is>
      </c>
      <c r="B4" s="4" t="inlineStr">
        <is>
          <t>LTM</t>
        </is>
      </c>
      <c r="C4" s="5" t="inlineStr">
        <is>
          <t>FY2025</t>
        </is>
      </c>
      <c r="D4" s="5" t="inlineStr">
        <is>
          <t>FY2024</t>
        </is>
      </c>
      <c r="E4" s="5" t="inlineStr">
        <is>
          <t>FY2023</t>
        </is>
      </c>
      <c r="F4" s="5" t="inlineStr">
        <is>
          <t>FY2022</t>
        </is>
      </c>
      <c r="G4" s="5" t="inlineStr">
        <is>
          <t>FY2021</t>
        </is>
      </c>
      <c r="H4" s="5" t="inlineStr">
        <is>
          <t>FY2020</t>
        </is>
      </c>
      <c r="I4" s="5" t="inlineStr">
        <is>
          <t>FY2019</t>
        </is>
      </c>
      <c r="J4" s="5" t="inlineStr">
        <is>
          <t>FY2018</t>
        </is>
      </c>
      <c r="K4" s="5" t="inlineStr">
        <is>
          <t>FY2017</t>
        </is>
      </c>
      <c r="L4" s="5" t="inlineStr">
        <is>
          <t>FY2016</t>
        </is>
      </c>
    </row>
    <row r="5" ht="18.5" customHeight="1" s="105">
      <c r="A5" s="6" t="inlineStr">
        <is>
          <t>Total Revenue</t>
        </is>
      </c>
      <c r="B5" s="7" t="n">
        <v>466823</v>
      </c>
      <c r="C5" s="7" t="n">
        <v>416161</v>
      </c>
      <c r="D5" s="7" t="n">
        <v>391035</v>
      </c>
      <c r="E5" s="7" t="n">
        <v>383285</v>
      </c>
      <c r="F5" s="7" t="n">
        <v>394328</v>
      </c>
      <c r="G5" s="7" t="n">
        <v>365817</v>
      </c>
      <c r="H5" s="7" t="n">
        <v>274515</v>
      </c>
      <c r="I5" s="7" t="n">
        <v>260174</v>
      </c>
      <c r="J5" s="7" t="n">
        <v>265595</v>
      </c>
      <c r="K5" s="7" t="n">
        <v>229234</v>
      </c>
      <c r="L5" s="7" t="n">
        <v>215639</v>
      </c>
    </row>
    <row r="6" ht="18.5" customHeight="1" s="105">
      <c r="A6" s="6" t="inlineStr">
        <is>
          <t>Cost of Revenue</t>
        </is>
      </c>
      <c r="B6" s="7" t="n">
        <v>239700</v>
      </c>
      <c r="C6" s="7" t="n">
        <v>220960</v>
      </c>
      <c r="D6" s="7" t="n">
        <v>210352</v>
      </c>
      <c r="E6" s="7" t="n">
        <v>214137</v>
      </c>
      <c r="F6" s="7" t="n">
        <v>223546</v>
      </c>
      <c r="G6" s="7" t="n">
        <v>212981</v>
      </c>
      <c r="H6" s="7" t="n">
        <v>169559</v>
      </c>
      <c r="I6" s="7" t="n">
        <v>161782</v>
      </c>
      <c r="J6" s="7" t="n">
        <v>163756</v>
      </c>
      <c r="K6" s="7" t="n">
        <v>141048</v>
      </c>
      <c r="L6" s="7" t="n">
        <v>131376</v>
      </c>
    </row>
    <row r="7" ht="18.5" customHeight="1" s="105">
      <c r="A7" s="8" t="inlineStr">
        <is>
          <t>Gross Profit</t>
        </is>
      </c>
      <c r="B7" s="9" t="n">
        <v>227123</v>
      </c>
      <c r="C7" s="9" t="n">
        <v>195201</v>
      </c>
      <c r="D7" s="9" t="n">
        <v>180683</v>
      </c>
      <c r="E7" s="9" t="n">
        <v>169148</v>
      </c>
      <c r="F7" s="9" t="n">
        <v>170782</v>
      </c>
      <c r="G7" s="9" t="n">
        <v>152836</v>
      </c>
      <c r="H7" s="9" t="n">
        <v>104956</v>
      </c>
      <c r="I7" s="9" t="n">
        <v>98392</v>
      </c>
      <c r="J7" s="9" t="n">
        <v>101839</v>
      </c>
      <c r="K7" s="9" t="n">
        <v>88186</v>
      </c>
      <c r="L7" s="9" t="n">
        <v>84263</v>
      </c>
    </row>
    <row r="8" ht="18.5" customHeight="1" s="105">
      <c r="A8" s="6" t="inlineStr">
        <is>
          <t>Operating expenses:</t>
        </is>
      </c>
      <c r="B8" s="22" t="inlineStr">
        <is>
          <t>-</t>
        </is>
      </c>
      <c r="C8" s="22" t="inlineStr">
        <is>
          <t>-</t>
        </is>
      </c>
      <c r="D8" s="22" t="inlineStr">
        <is>
          <t>-</t>
        </is>
      </c>
      <c r="E8" s="22" t="inlineStr">
        <is>
          <t>-</t>
        </is>
      </c>
      <c r="F8" s="22" t="inlineStr">
        <is>
          <t>-</t>
        </is>
      </c>
      <c r="G8" s="22" t="inlineStr">
        <is>
          <t>-</t>
        </is>
      </c>
      <c r="H8" s="22" t="inlineStr">
        <is>
          <t>-</t>
        </is>
      </c>
      <c r="I8" s="22" t="inlineStr">
        <is>
          <t>-</t>
        </is>
      </c>
      <c r="J8" s="22" t="inlineStr">
        <is>
          <t>-</t>
        </is>
      </c>
      <c r="K8" s="22" t="inlineStr">
        <is>
          <t>-</t>
        </is>
      </c>
      <c r="L8" s="22" t="inlineStr">
        <is>
          <t>-</t>
        </is>
      </c>
    </row>
    <row r="9" ht="18.5" customHeight="1" s="105">
      <c r="A9" s="6" t="inlineStr">
        <is>
          <t>Research and Development Expense</t>
        </is>
      </c>
      <c r="B9" s="7" t="n">
        <v>42901</v>
      </c>
      <c r="C9" s="7" t="n">
        <v>34550</v>
      </c>
      <c r="D9" s="7" t="n">
        <v>31370</v>
      </c>
      <c r="E9" s="7" t="n">
        <v>29915</v>
      </c>
      <c r="F9" s="7" t="n">
        <v>26251</v>
      </c>
      <c r="G9" s="7" t="n">
        <v>21914</v>
      </c>
      <c r="H9" s="7" t="n">
        <v>18752</v>
      </c>
      <c r="I9" s="7" t="n">
        <v>16217</v>
      </c>
      <c r="J9" s="7" t="n">
        <v>14236</v>
      </c>
      <c r="K9" s="7" t="n">
        <v>11581</v>
      </c>
      <c r="L9" s="7" t="n">
        <v>10045</v>
      </c>
    </row>
    <row r="10" ht="18.5" customHeight="1" s="105">
      <c r="A10" s="6" t="inlineStr">
        <is>
          <t>Selling and Marketing Expense</t>
        </is>
      </c>
      <c r="B10" s="7" t="n">
        <v>20555</v>
      </c>
      <c r="C10" s="7" t="n">
        <v>19524</v>
      </c>
      <c r="D10" s="22" t="inlineStr">
        <is>
          <t>-</t>
        </is>
      </c>
      <c r="E10" s="22" t="inlineStr">
        <is>
          <t>-</t>
        </is>
      </c>
      <c r="F10" s="22" t="inlineStr">
        <is>
          <t>-</t>
        </is>
      </c>
      <c r="G10" s="22" t="inlineStr">
        <is>
          <t>-</t>
        </is>
      </c>
      <c r="H10" s="22" t="inlineStr">
        <is>
          <t>-</t>
        </is>
      </c>
      <c r="I10" s="22" t="inlineStr">
        <is>
          <t>-</t>
        </is>
      </c>
      <c r="J10" s="22" t="inlineStr">
        <is>
          <t>-</t>
        </is>
      </c>
      <c r="K10" s="22" t="inlineStr">
        <is>
          <t>-</t>
        </is>
      </c>
      <c r="L10" s="22" t="inlineStr">
        <is>
          <t>-</t>
        </is>
      </c>
    </row>
    <row r="11" ht="18.5" customHeight="1" s="105">
      <c r="A11" s="6" t="inlineStr">
        <is>
          <t>General and Administrative Expense</t>
        </is>
      </c>
      <c r="B11" s="7" t="n">
        <v>9839</v>
      </c>
      <c r="C11" s="7" t="n">
        <v>8077</v>
      </c>
      <c r="D11" s="22" t="inlineStr">
        <is>
          <t>-</t>
        </is>
      </c>
      <c r="E11" s="22" t="inlineStr">
        <is>
          <t>-</t>
        </is>
      </c>
      <c r="F11" s="22" t="inlineStr">
        <is>
          <t>-</t>
        </is>
      </c>
      <c r="G11" s="22" t="inlineStr">
        <is>
          <t>-</t>
        </is>
      </c>
      <c r="H11" s="22" t="inlineStr">
        <is>
          <t>-</t>
        </is>
      </c>
      <c r="I11" s="22" t="inlineStr">
        <is>
          <t>-</t>
        </is>
      </c>
      <c r="J11" s="22" t="inlineStr">
        <is>
          <t>-</t>
        </is>
      </c>
      <c r="K11" s="22" t="inlineStr">
        <is>
          <t>-</t>
        </is>
      </c>
      <c r="L11" s="22" t="inlineStr">
        <is>
          <t>-</t>
        </is>
      </c>
    </row>
    <row r="12" ht="18.5" customHeight="1" s="105">
      <c r="A12" s="6" t="inlineStr">
        <is>
          <t>Operating Expenses</t>
        </is>
      </c>
      <c r="B12" s="7" t="n">
        <v>72264</v>
      </c>
      <c r="C12" s="7" t="n">
        <v>62151</v>
      </c>
      <c r="D12" s="7" t="n">
        <v>57467</v>
      </c>
      <c r="E12" s="7" t="n">
        <v>54847</v>
      </c>
      <c r="F12" s="7" t="n">
        <v>51345</v>
      </c>
      <c r="G12" s="7" t="n">
        <v>43887</v>
      </c>
      <c r="H12" s="7" t="n">
        <v>38668</v>
      </c>
      <c r="I12" s="7" t="n">
        <v>34462</v>
      </c>
      <c r="J12" s="7" t="n">
        <v>30941</v>
      </c>
      <c r="K12" s="7" t="n">
        <v>26842</v>
      </c>
      <c r="L12" s="7" t="n">
        <v>24239</v>
      </c>
    </row>
    <row r="13" ht="18.5" customHeight="1" s="105">
      <c r="A13" s="6" t="inlineStr">
        <is>
          <t>Selling, General and Administrative Expense</t>
        </is>
      </c>
      <c r="B13" s="7" t="n">
        <v>29363</v>
      </c>
      <c r="C13" s="7" t="n">
        <v>27601</v>
      </c>
      <c r="D13" s="7" t="n">
        <v>26097</v>
      </c>
      <c r="E13" s="7" t="n">
        <v>24932</v>
      </c>
      <c r="F13" s="7" t="n">
        <v>25094</v>
      </c>
      <c r="G13" s="7" t="n">
        <v>21973</v>
      </c>
      <c r="H13" s="7" t="n">
        <v>19916</v>
      </c>
      <c r="I13" s="7" t="n">
        <v>18245</v>
      </c>
      <c r="J13" s="7" t="n">
        <v>16705</v>
      </c>
      <c r="K13" s="7" t="n">
        <v>15261</v>
      </c>
      <c r="L13" s="7" t="n">
        <v>14194</v>
      </c>
    </row>
    <row r="14" ht="18.5" customHeight="1" s="105">
      <c r="A14" s="8" t="inlineStr">
        <is>
          <t>Operating Income (Loss)</t>
        </is>
      </c>
      <c r="B14" s="9" t="n">
        <v>154859</v>
      </c>
      <c r="C14" s="9" t="n">
        <v>133050</v>
      </c>
      <c r="D14" s="9" t="n">
        <v>123216</v>
      </c>
      <c r="E14" s="9" t="n">
        <v>114301</v>
      </c>
      <c r="F14" s="9" t="n">
        <v>119437</v>
      </c>
      <c r="G14" s="9" t="n">
        <v>108949</v>
      </c>
      <c r="H14" s="9" t="n">
        <v>66288</v>
      </c>
      <c r="I14" s="9" t="n">
        <v>63930</v>
      </c>
      <c r="J14" s="9" t="n">
        <v>70898</v>
      </c>
      <c r="K14" s="9" t="n">
        <v>61344</v>
      </c>
      <c r="L14" s="9" t="n">
        <v>60024</v>
      </c>
    </row>
    <row r="15" ht="18.5" customHeight="1" s="105">
      <c r="A15" s="6" t="inlineStr">
        <is>
          <t>Other Nonoperating Income (Expense)</t>
        </is>
      </c>
      <c r="B15" s="22" t="inlineStr">
        <is>
          <t>-</t>
        </is>
      </c>
      <c r="C15" s="22" t="inlineStr">
        <is>
          <t>-</t>
        </is>
      </c>
      <c r="D15" s="22" t="inlineStr">
        <is>
          <t>-</t>
        </is>
      </c>
      <c r="E15" s="7" t="n">
        <v>-382</v>
      </c>
      <c r="F15" s="7" t="n">
        <v>-228</v>
      </c>
      <c r="G15" s="7" t="n">
        <v>60</v>
      </c>
      <c r="H15" s="7" t="n">
        <v>-87</v>
      </c>
      <c r="I15" s="7" t="n">
        <v>422</v>
      </c>
      <c r="J15" s="7" t="n">
        <v>-441</v>
      </c>
      <c r="K15" s="7" t="n">
        <v>-133</v>
      </c>
      <c r="L15" s="7" t="n">
        <v>-1195</v>
      </c>
    </row>
    <row r="16" ht="18.5" customHeight="1" s="105">
      <c r="A16" s="6" t="inlineStr">
        <is>
          <t>Income (Loss) from Continuing Operations before Income Taxes, Noncontrolling Interest</t>
        </is>
      </c>
      <c r="B16" s="7" t="n">
        <v>155906</v>
      </c>
      <c r="C16" s="7" t="n">
        <v>132729</v>
      </c>
      <c r="D16" s="7" t="n">
        <v>123485</v>
      </c>
      <c r="E16" s="7" t="n">
        <v>113736</v>
      </c>
      <c r="F16" s="7" t="n">
        <v>119103</v>
      </c>
      <c r="G16" s="7" t="n">
        <v>109207</v>
      </c>
      <c r="H16" s="7" t="n">
        <v>67091</v>
      </c>
      <c r="I16" s="7" t="n">
        <v>65737</v>
      </c>
      <c r="J16" s="7" t="n">
        <v>72903</v>
      </c>
      <c r="K16" s="7" t="n">
        <v>64089</v>
      </c>
      <c r="L16" s="7" t="n">
        <v>61372</v>
      </c>
    </row>
    <row r="17" ht="18.5" customHeight="1" s="105">
      <c r="A17" s="6" t="inlineStr">
        <is>
          <t>Income Tax Expense (Benefit)</t>
        </is>
      </c>
      <c r="B17" s="7" t="n">
        <v>26976</v>
      </c>
      <c r="C17" s="7" t="n">
        <v>20719</v>
      </c>
      <c r="D17" s="7" t="n">
        <v>29749</v>
      </c>
      <c r="E17" s="7" t="n">
        <v>16741</v>
      </c>
      <c r="F17" s="7" t="n">
        <v>19300</v>
      </c>
      <c r="G17" s="7" t="n">
        <v>14527</v>
      </c>
      <c r="H17" s="7" t="n">
        <v>9680</v>
      </c>
      <c r="I17" s="7" t="n">
        <v>10481</v>
      </c>
      <c r="J17" s="7" t="n">
        <v>13372</v>
      </c>
      <c r="K17" s="7" t="n">
        <v>15738</v>
      </c>
      <c r="L17" s="7" t="n">
        <v>15685</v>
      </c>
    </row>
    <row r="18" ht="18.5" customHeight="1" s="105">
      <c r="A18" s="8" t="inlineStr">
        <is>
          <t>Net Income (Loss) Attributable to Parent</t>
        </is>
      </c>
      <c r="B18" s="9" t="n">
        <v>128930</v>
      </c>
      <c r="C18" s="9" t="n">
        <v>112010</v>
      </c>
      <c r="D18" s="9" t="n">
        <v>93736</v>
      </c>
      <c r="E18" s="9" t="n">
        <v>96995</v>
      </c>
      <c r="F18" s="9" t="n">
        <v>99803</v>
      </c>
      <c r="G18" s="9" t="n">
        <v>94680</v>
      </c>
      <c r="H18" s="9" t="n">
        <v>57411</v>
      </c>
      <c r="I18" s="9" t="n">
        <v>55256</v>
      </c>
      <c r="J18" s="9" t="n">
        <v>59531</v>
      </c>
      <c r="K18" s="9" t="n">
        <v>48351</v>
      </c>
      <c r="L18" s="9" t="n">
        <v>45687</v>
      </c>
    </row>
    <row r="19" ht="18.5" customHeight="1" s="105">
      <c r="A19" s="8" t="inlineStr">
        <is>
          <t>Earnings Per Share, Basic</t>
        </is>
      </c>
      <c r="B19" s="14" t="n">
        <v>8.760000000000002</v>
      </c>
      <c r="C19" s="14" t="n">
        <v>7.49</v>
      </c>
      <c r="D19" s="14" t="n">
        <v>6.11</v>
      </c>
      <c r="E19" s="14" t="n">
        <v>6.16</v>
      </c>
      <c r="F19" s="14" t="n">
        <v>6.15</v>
      </c>
      <c r="G19" s="14" t="n">
        <v>5.67</v>
      </c>
      <c r="H19" s="14" t="n">
        <v>3.31</v>
      </c>
      <c r="I19" s="14" t="n">
        <v>11.97</v>
      </c>
      <c r="J19" s="14" t="n">
        <v>12.01</v>
      </c>
      <c r="K19" s="14" t="n">
        <v>9.27</v>
      </c>
      <c r="L19" s="14" t="n">
        <v>8.35</v>
      </c>
    </row>
    <row r="20" ht="18.5" customHeight="1" s="105">
      <c r="A20" s="8" t="inlineStr">
        <is>
          <t>Earnings Per Share, Diluted</t>
        </is>
      </c>
      <c r="B20" s="14" t="n">
        <v>8.74</v>
      </c>
      <c r="C20" s="14" t="n">
        <v>7.46</v>
      </c>
      <c r="D20" s="14" t="n">
        <v>6.08</v>
      </c>
      <c r="E20" s="14" t="n">
        <v>6.13</v>
      </c>
      <c r="F20" s="14" t="n">
        <v>6.11</v>
      </c>
      <c r="G20" s="14" t="n">
        <v>5.61</v>
      </c>
      <c r="H20" s="14" t="n">
        <v>3.28</v>
      </c>
      <c r="I20" s="14" t="n">
        <v>11.89</v>
      </c>
      <c r="J20" s="14" t="n">
        <v>11.91</v>
      </c>
      <c r="K20" s="14" t="n">
        <v>9.210000000000001</v>
      </c>
      <c r="L20" s="14" t="n">
        <v>8.31</v>
      </c>
    </row>
    <row r="21" ht="18.5" customHeight="1" s="105">
      <c r="A21" s="6" t="inlineStr">
        <is>
          <t>Other income (expense):</t>
        </is>
      </c>
      <c r="B21" s="22" t="inlineStr">
        <is>
          <t>-</t>
        </is>
      </c>
      <c r="C21" s="22" t="inlineStr">
        <is>
          <t>-</t>
        </is>
      </c>
      <c r="D21" s="22" t="inlineStr">
        <is>
          <t>-</t>
        </is>
      </c>
      <c r="E21" s="22" t="inlineStr">
        <is>
          <t>-</t>
        </is>
      </c>
      <c r="F21" s="22" t="inlineStr">
        <is>
          <t>-</t>
        </is>
      </c>
      <c r="G21" s="22" t="inlineStr">
        <is>
          <t>-</t>
        </is>
      </c>
      <c r="H21" s="22" t="inlineStr">
        <is>
          <t>-</t>
        </is>
      </c>
      <c r="I21" s="22" t="inlineStr">
        <is>
          <t>-</t>
        </is>
      </c>
      <c r="J21" s="22" t="inlineStr">
        <is>
          <t>-</t>
        </is>
      </c>
      <c r="K21" s="22" t="inlineStr">
        <is>
          <t>-</t>
        </is>
      </c>
      <c r="L21" s="22" t="inlineStr">
        <is>
          <t>-</t>
        </is>
      </c>
    </row>
    <row r="22" ht="18.5" customHeight="1" s="105">
      <c r="A22" s="6" t="inlineStr">
        <is>
          <t>Nonoperating Income (Expense)</t>
        </is>
      </c>
      <c r="B22" s="7" t="n">
        <v>1047</v>
      </c>
      <c r="C22" s="7" t="n">
        <v>-321</v>
      </c>
      <c r="D22" s="7" t="n">
        <v>269</v>
      </c>
      <c r="E22" s="7" t="n">
        <v>-565</v>
      </c>
      <c r="F22" s="7" t="n">
        <v>-334</v>
      </c>
      <c r="G22" s="7" t="n">
        <v>258</v>
      </c>
      <c r="H22" s="7" t="n">
        <v>803</v>
      </c>
      <c r="I22" s="7" t="n">
        <v>1807</v>
      </c>
      <c r="J22" s="7" t="n">
        <v>2005</v>
      </c>
      <c r="K22" s="7" t="n">
        <v>2745</v>
      </c>
      <c r="L22" s="7" t="n">
        <v>1348</v>
      </c>
    </row>
    <row r="23" ht="18.5" customHeight="1" s="105">
      <c r="A23" s="6" t="inlineStr">
        <is>
          <t>Revenues:</t>
        </is>
      </c>
      <c r="B23" s="22" t="inlineStr">
        <is>
          <t>-</t>
        </is>
      </c>
      <c r="C23" s="22" t="inlineStr">
        <is>
          <t>-</t>
        </is>
      </c>
      <c r="D23" s="22" t="inlineStr">
        <is>
          <t>-</t>
        </is>
      </c>
      <c r="E23" s="22" t="inlineStr">
        <is>
          <t>-</t>
        </is>
      </c>
      <c r="F23" s="22" t="inlineStr">
        <is>
          <t>-</t>
        </is>
      </c>
      <c r="G23" s="22" t="inlineStr">
        <is>
          <t>-</t>
        </is>
      </c>
      <c r="H23" s="22" t="inlineStr">
        <is>
          <t>-</t>
        </is>
      </c>
      <c r="I23" s="22" t="inlineStr">
        <is>
          <t>-</t>
        </is>
      </c>
      <c r="J23" s="22" t="inlineStr">
        <is>
          <t>-</t>
        </is>
      </c>
      <c r="K23" s="22" t="inlineStr">
        <is>
          <t>-</t>
        </is>
      </c>
      <c r="L23" s="22" t="inlineStr">
        <is>
          <t>-</t>
        </is>
      </c>
    </row>
    <row r="24" ht="18.5" customHeight="1" s="105">
      <c r="A24" s="6" t="inlineStr">
        <is>
          <t>Revenues</t>
        </is>
      </c>
      <c r="B24" s="22" t="inlineStr">
        <is>
          <t>-</t>
        </is>
      </c>
      <c r="C24" s="22" t="inlineStr">
        <is>
          <t>-</t>
        </is>
      </c>
      <c r="D24" s="22" t="inlineStr">
        <is>
          <t>-</t>
        </is>
      </c>
      <c r="E24" s="22" t="inlineStr">
        <is>
          <t>-</t>
        </is>
      </c>
      <c r="F24" s="22" t="inlineStr">
        <is>
          <t>-</t>
        </is>
      </c>
      <c r="G24" s="22" t="inlineStr">
        <is>
          <t>-</t>
        </is>
      </c>
      <c r="H24" s="22" t="inlineStr">
        <is>
          <t>-</t>
        </is>
      </c>
      <c r="I24" s="22" t="inlineStr">
        <is>
          <t>-</t>
        </is>
      </c>
      <c r="J24" s="7" t="n">
        <v>265595</v>
      </c>
      <c r="K24" s="22" t="inlineStr">
        <is>
          <t>-</t>
        </is>
      </c>
      <c r="L24" s="22" t="inlineStr">
        <is>
          <t>-</t>
        </is>
      </c>
    </row>
    <row r="25" ht="18.5" customHeight="1" s="105">
      <c r="A25" s="6" t="inlineStr">
        <is>
          <t>Weighted Average Number of Shares Outstanding, Basic</t>
        </is>
      </c>
      <c r="B25" s="17" t="n">
        <v>14692.515</v>
      </c>
      <c r="C25" s="17" t="n">
        <v>14948.5</v>
      </c>
      <c r="D25" s="17" t="n">
        <v>15343.783</v>
      </c>
      <c r="E25" s="17" t="n">
        <v>15744.231</v>
      </c>
      <c r="F25" s="17" t="n">
        <v>16215.963</v>
      </c>
      <c r="G25" s="17" t="n">
        <v>16701.272</v>
      </c>
      <c r="H25" s="17" t="n">
        <v>17352.119</v>
      </c>
      <c r="I25" s="17" t="n">
        <v>4617.834</v>
      </c>
      <c r="J25" s="17" t="n">
        <v>4955.377</v>
      </c>
      <c r="K25" s="17" t="n">
        <v>5217.242</v>
      </c>
      <c r="L25" s="17" t="n">
        <v>5470.82</v>
      </c>
    </row>
    <row r="26" ht="18.5" customHeight="1" s="105">
      <c r="A26" s="6" t="inlineStr">
        <is>
          <t>Weighted Average Number of Shares Outstanding, Diluted</t>
        </is>
      </c>
      <c r="B26" s="17" t="n">
        <v>14750.302</v>
      </c>
      <c r="C26" s="17" t="n">
        <v>15004.697</v>
      </c>
      <c r="D26" s="17" t="n">
        <v>15408.095</v>
      </c>
      <c r="E26" s="17" t="n">
        <v>15812.547</v>
      </c>
      <c r="F26" s="17" t="n">
        <v>16325.819</v>
      </c>
      <c r="G26" s="17" t="n">
        <v>16864.919</v>
      </c>
      <c r="H26" s="17" t="n">
        <v>17528.214</v>
      </c>
      <c r="I26" s="17" t="n">
        <v>4648.913</v>
      </c>
      <c r="J26" s="17" t="n">
        <v>5000.109</v>
      </c>
      <c r="K26" s="17" t="n">
        <v>5251.692</v>
      </c>
      <c r="L26" s="17" t="n">
        <v>5500.281</v>
      </c>
    </row>
    <row r="27" ht="18.5" customHeight="1" s="105">
      <c r="A27" s="6" t="inlineStr">
        <is>
          <t>Additional Financial Items</t>
        </is>
      </c>
      <c r="B27" s="22" t="inlineStr">
        <is>
          <t>-</t>
        </is>
      </c>
      <c r="C27" s="22" t="inlineStr">
        <is>
          <t>-</t>
        </is>
      </c>
      <c r="D27" s="22" t="inlineStr">
        <is>
          <t>-</t>
        </is>
      </c>
      <c r="E27" s="22" t="inlineStr">
        <is>
          <t>-</t>
        </is>
      </c>
      <c r="F27" s="22" t="inlineStr">
        <is>
          <t>-</t>
        </is>
      </c>
      <c r="G27" s="22" t="inlineStr">
        <is>
          <t>-</t>
        </is>
      </c>
      <c r="H27" s="22" t="inlineStr">
        <is>
          <t>-</t>
        </is>
      </c>
      <c r="I27" s="22" t="inlineStr">
        <is>
          <t>-</t>
        </is>
      </c>
      <c r="J27" s="22" t="inlineStr">
        <is>
          <t>-</t>
        </is>
      </c>
      <c r="K27" s="22" t="inlineStr">
        <is>
          <t>-</t>
        </is>
      </c>
      <c r="L27" s="22" t="inlineStr">
        <is>
          <t>-</t>
        </is>
      </c>
    </row>
    <row r="28" ht="18.5" customHeight="1" s="105">
      <c r="A28" s="6" t="inlineStr">
        <is>
          <t>Amortization of Intangible Assets</t>
        </is>
      </c>
      <c r="B28" s="22" t="inlineStr">
        <is>
          <t>-</t>
        </is>
      </c>
      <c r="C28" s="22" t="inlineStr">
        <is>
          <t>-</t>
        </is>
      </c>
      <c r="D28" s="22" t="inlineStr">
        <is>
          <t>-</t>
        </is>
      </c>
      <c r="E28" s="22" t="inlineStr">
        <is>
          <t>-</t>
        </is>
      </c>
      <c r="F28" s="22" t="inlineStr">
        <is>
          <t>-</t>
        </is>
      </c>
      <c r="G28" s="22" t="inlineStr">
        <is>
          <t>-</t>
        </is>
      </c>
      <c r="H28" s="22" t="inlineStr">
        <is>
          <t>-</t>
        </is>
      </c>
      <c r="I28" s="22" t="inlineStr">
        <is>
          <t>-</t>
        </is>
      </c>
      <c r="J28" s="22" t="inlineStr">
        <is>
          <t>-</t>
        </is>
      </c>
      <c r="K28" s="7" t="n">
        <v>1200</v>
      </c>
      <c r="L28" s="7" t="n">
        <v>1500</v>
      </c>
    </row>
    <row r="29" ht="18.5" customHeight="1" s="105">
      <c r="A29" s="6" t="inlineStr">
        <is>
          <t>Common Stock, Dividends, Per Share, Declared</t>
        </is>
      </c>
      <c r="B29" s="7" t="n">
        <v>1.01e-06</v>
      </c>
      <c r="C29" s="7" t="n">
        <v>1.02e-06</v>
      </c>
      <c r="D29" s="7" t="n">
        <v>9.799999999999999e-07</v>
      </c>
      <c r="E29" s="7" t="n">
        <v>9.399999999999999e-07</v>
      </c>
      <c r="F29" s="7" t="n">
        <v>9.000000000000001e-07</v>
      </c>
      <c r="G29" s="7" t="n">
        <v>8.5e-07</v>
      </c>
      <c r="H29" s="7" t="n">
        <v>7.95e-07</v>
      </c>
      <c r="I29" s="7" t="n">
        <v>3e-06</v>
      </c>
      <c r="J29" s="7" t="n">
        <v>2.72e-06</v>
      </c>
      <c r="K29" s="7" t="n">
        <v>2.4e-06</v>
      </c>
      <c r="L29" s="7" t="n">
        <v>2.18e-06</v>
      </c>
    </row>
    <row r="30" ht="18.5" customHeight="1" s="105">
      <c r="A30" s="6" t="inlineStr">
        <is>
          <t>Depreciation, Depletion and Amortization, Nonproduction</t>
        </is>
      </c>
      <c r="B30" s="22" t="inlineStr">
        <is>
          <t>-</t>
        </is>
      </c>
      <c r="C30" s="22" t="inlineStr">
        <is>
          <t>-</t>
        </is>
      </c>
      <c r="D30" s="22" t="inlineStr">
        <is>
          <t>-</t>
        </is>
      </c>
      <c r="E30" s="22" t="inlineStr">
        <is>
          <t>-</t>
        </is>
      </c>
      <c r="F30" s="22" t="inlineStr">
        <is>
          <t>-</t>
        </is>
      </c>
      <c r="G30" s="22" t="inlineStr">
        <is>
          <t>-</t>
        </is>
      </c>
      <c r="H30" s="22" t="inlineStr">
        <is>
          <t>-</t>
        </is>
      </c>
      <c r="I30" s="22" t="inlineStr">
        <is>
          <t>-</t>
        </is>
      </c>
      <c r="J30" s="22" t="inlineStr">
        <is>
          <t>-</t>
        </is>
      </c>
      <c r="K30" s="22" t="inlineStr">
        <is>
          <t>-</t>
        </is>
      </c>
      <c r="L30" s="7" t="n">
        <v>8300</v>
      </c>
    </row>
    <row r="31" ht="18.5" customHeight="1" s="105">
      <c r="A31" s="6" t="inlineStr">
        <is>
          <t>Goodwill, Impairment Loss</t>
        </is>
      </c>
      <c r="B31" s="22" t="inlineStr">
        <is>
          <t>-</t>
        </is>
      </c>
      <c r="C31" s="22" t="inlineStr">
        <is>
          <t>-</t>
        </is>
      </c>
      <c r="D31" s="22" t="inlineStr">
        <is>
          <t>-</t>
        </is>
      </c>
      <c r="E31" s="22" t="inlineStr">
        <is>
          <t>-</t>
        </is>
      </c>
      <c r="F31" s="22" t="inlineStr">
        <is>
          <t>-</t>
        </is>
      </c>
      <c r="G31" s="22" t="inlineStr">
        <is>
          <t>-</t>
        </is>
      </c>
      <c r="H31" s="22" t="inlineStr">
        <is>
          <t>-</t>
        </is>
      </c>
      <c r="I31" s="22" t="inlineStr">
        <is>
          <t>-</t>
        </is>
      </c>
      <c r="J31" s="22" t="inlineStr">
        <is>
          <t>-</t>
        </is>
      </c>
      <c r="K31" s="7" t="n">
        <v>0</v>
      </c>
      <c r="L31" s="7" t="n">
        <v>0</v>
      </c>
    </row>
    <row r="32" ht="18.5" customHeight="1" s="105">
      <c r="A32" s="6" t="inlineStr">
        <is>
          <t>Interest Expense</t>
        </is>
      </c>
      <c r="B32" s="22" t="inlineStr">
        <is>
          <t>-</t>
        </is>
      </c>
      <c r="C32" s="22" t="inlineStr">
        <is>
          <t>-</t>
        </is>
      </c>
      <c r="D32" s="22" t="inlineStr">
        <is>
          <t>-</t>
        </is>
      </c>
      <c r="E32" s="7" t="n">
        <v>3933</v>
      </c>
      <c r="F32" s="7" t="n">
        <v>2931</v>
      </c>
      <c r="G32" s="7" t="n">
        <v>2645</v>
      </c>
      <c r="H32" s="7" t="n">
        <v>2873</v>
      </c>
      <c r="I32" s="7" t="n">
        <v>3576</v>
      </c>
      <c r="J32" s="7" t="n">
        <v>3240</v>
      </c>
      <c r="K32" s="7" t="n">
        <v>2323</v>
      </c>
      <c r="L32" s="7" t="n">
        <v>1456</v>
      </c>
    </row>
    <row r="33" ht="18.5" customHeight="1" s="105">
      <c r="A33" s="6" t="inlineStr">
        <is>
          <t>Interest Expense, Debt</t>
        </is>
      </c>
      <c r="B33" s="22" t="inlineStr">
        <is>
          <t>-</t>
        </is>
      </c>
      <c r="C33" s="22" t="inlineStr">
        <is>
          <t>-</t>
        </is>
      </c>
      <c r="D33" s="22" t="inlineStr">
        <is>
          <t>-</t>
        </is>
      </c>
      <c r="E33" s="22" t="inlineStr">
        <is>
          <t>-</t>
        </is>
      </c>
      <c r="F33" s="22" t="inlineStr">
        <is>
          <t>-</t>
        </is>
      </c>
      <c r="G33" s="7" t="n">
        <v>2600</v>
      </c>
      <c r="H33" s="22" t="inlineStr">
        <is>
          <t>-</t>
        </is>
      </c>
      <c r="I33" s="22" t="inlineStr">
        <is>
          <t>-</t>
        </is>
      </c>
      <c r="J33" s="7" t="n">
        <v>3000</v>
      </c>
      <c r="K33" s="7" t="n">
        <v>2200</v>
      </c>
      <c r="L33" s="7" t="n">
        <v>1400</v>
      </c>
    </row>
    <row r="34" ht="18.5" customHeight="1" s="105">
      <c r="A34" s="6" t="inlineStr">
        <is>
          <t>Reclassification from AOCI, Current Period, before Tax, Attributable to Parent</t>
        </is>
      </c>
      <c r="B34" s="22" t="inlineStr">
        <is>
          <t>-</t>
        </is>
      </c>
      <c r="C34" s="22" t="inlineStr">
        <is>
          <t>-</t>
        </is>
      </c>
      <c r="D34" s="22" t="inlineStr">
        <is>
          <t>-</t>
        </is>
      </c>
      <c r="E34" s="22" t="inlineStr">
        <is>
          <t>-</t>
        </is>
      </c>
      <c r="F34" s="22" t="inlineStr">
        <is>
          <t>-</t>
        </is>
      </c>
      <c r="G34" s="22" t="inlineStr">
        <is>
          <t>-</t>
        </is>
      </c>
      <c r="H34" s="22" t="inlineStr">
        <is>
          <t>-</t>
        </is>
      </c>
      <c r="I34" s="22" t="inlineStr">
        <is>
          <t>-</t>
        </is>
      </c>
      <c r="J34" s="22" t="inlineStr">
        <is>
          <t>-</t>
        </is>
      </c>
      <c r="K34" s="22" t="inlineStr">
        <is>
          <t>-</t>
        </is>
      </c>
      <c r="L34" s="7" t="n">
        <v>785</v>
      </c>
    </row>
    <row r="35" ht="18.5" customHeight="1" s="105">
      <c r="A35" s="6" t="inlineStr">
        <is>
          <t>Revenue, Net (Deprecated 2018-01-31)</t>
        </is>
      </c>
      <c r="B35" s="22" t="inlineStr">
        <is>
          <t>-</t>
        </is>
      </c>
      <c r="C35" s="22" t="inlineStr">
        <is>
          <t>-</t>
        </is>
      </c>
      <c r="D35" s="22" t="inlineStr">
        <is>
          <t>-</t>
        </is>
      </c>
      <c r="E35" s="22" t="inlineStr">
        <is>
          <t>-</t>
        </is>
      </c>
      <c r="F35" s="22" t="inlineStr">
        <is>
          <t>-</t>
        </is>
      </c>
      <c r="G35" s="22" t="inlineStr">
        <is>
          <t>-</t>
        </is>
      </c>
      <c r="H35" s="22" t="inlineStr">
        <is>
          <t>-</t>
        </is>
      </c>
      <c r="I35" s="22" t="inlineStr">
        <is>
          <t>-</t>
        </is>
      </c>
      <c r="J35" s="22" t="inlineStr">
        <is>
          <t>-</t>
        </is>
      </c>
      <c r="K35" s="7" t="n">
        <v>229234</v>
      </c>
      <c r="L35" s="7" t="n">
        <v>215639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8"/>
  <sheetViews>
    <sheetView showGridLines="1" workbookViewId="0">
      <pane xSplit="1" ySplit="4" topLeftCell="B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10" defaultColWidth="9.140625" defaultRowHeight="15"/>
  <cols>
    <col width="50" customWidth="1" style="105" min="1" max="1"/>
    <col width="14.5" customWidth="1" style="105" min="2" max="12"/>
    <col width="14.5" customWidth="1" style="105" min="3" max="3"/>
    <col width="14.5" customWidth="1" style="105" min="4" max="4"/>
    <col width="14.5" customWidth="1" style="105" min="5" max="5"/>
    <col width="14.5" customWidth="1" style="105" min="6" max="6"/>
    <col width="14.5" customWidth="1" style="105" min="7" max="7"/>
    <col width="14.5" customWidth="1" style="105" min="8" max="8"/>
    <col width="14.5" customWidth="1" style="105" min="9" max="9"/>
    <col width="14.5" customWidth="1" style="105" min="10" max="10"/>
    <col width="14.5" customWidth="1" style="105" min="11" max="11"/>
    <col width="14.5" customWidth="1" style="105" min="12" max="12"/>
  </cols>
  <sheetData>
    <row r="1" ht="30" customHeight="1" s="105">
      <c r="A1" s="1" t="inlineStr">
        <is>
          <t>Apple Inc. (AAPL) - Balance Patrimonial Oficial</t>
        </is>
      </c>
    </row>
    <row r="2" ht="18" customHeight="1" s="105">
      <c r="A2" s="2" t="inlineStr">
        <is>
          <t>Cifras expresadas en Millones de USD ($M) | Estructura contable de Activos, Pasivos y Patrimonio</t>
        </is>
      </c>
    </row>
    <row r="3" ht="8" customHeight="1" s="105"/>
    <row r="4" ht="24.95" customHeight="1" s="105">
      <c r="A4" s="3" t="inlineStr">
        <is>
          <t>Concepto Patrimonial</t>
        </is>
      </c>
      <c r="B4" s="4" t="inlineStr">
        <is>
          <t>LTM</t>
        </is>
      </c>
      <c r="C4" s="5" t="inlineStr">
        <is>
          <t>FY2025</t>
        </is>
      </c>
      <c r="D4" s="5" t="inlineStr">
        <is>
          <t>FY2024</t>
        </is>
      </c>
      <c r="E4" s="5" t="inlineStr">
        <is>
          <t>FY2023</t>
        </is>
      </c>
      <c r="F4" s="5" t="inlineStr">
        <is>
          <t>FY2022</t>
        </is>
      </c>
      <c r="G4" s="5" t="inlineStr">
        <is>
          <t>FY2021</t>
        </is>
      </c>
      <c r="H4" s="5" t="inlineStr">
        <is>
          <t>FY2020</t>
        </is>
      </c>
      <c r="I4" s="5" t="inlineStr">
        <is>
          <t>FY2019</t>
        </is>
      </c>
      <c r="J4" s="5" t="inlineStr">
        <is>
          <t>FY2018</t>
        </is>
      </c>
      <c r="K4" s="5" t="inlineStr">
        <is>
          <t>FY2017</t>
        </is>
      </c>
      <c r="L4" s="5" t="inlineStr">
        <is>
          <t>FY2016</t>
        </is>
      </c>
    </row>
    <row r="5" ht="18.5" customHeight="1" s="105">
      <c r="A5" s="18" t="inlineStr">
        <is>
          <t>ASSETS</t>
        </is>
      </c>
      <c r="B5" s="19" t="n"/>
      <c r="C5" s="19" t="n"/>
      <c r="D5" s="19" t="n"/>
      <c r="E5" s="19" t="n"/>
      <c r="F5" s="19" t="n"/>
      <c r="G5" s="19" t="n"/>
      <c r="H5" s="19" t="n"/>
      <c r="I5" s="19" t="n"/>
      <c r="J5" s="19" t="n"/>
      <c r="K5" s="19" t="n"/>
      <c r="L5" s="19" t="n"/>
    </row>
    <row r="6" ht="18.5" customHeight="1" s="105">
      <c r="A6" s="23" t="inlineStr">
        <is>
          <t xml:space="preserve">   Assets</t>
        </is>
      </c>
      <c r="B6" s="24" t="n">
        <v>383266</v>
      </c>
      <c r="C6" s="24" t="n">
        <v>359241</v>
      </c>
      <c r="D6" s="24" t="n">
        <v>364980</v>
      </c>
      <c r="E6" s="24" t="n">
        <v>352583</v>
      </c>
      <c r="F6" s="24" t="n">
        <v>352755</v>
      </c>
      <c r="G6" s="24" t="n">
        <v>351002</v>
      </c>
      <c r="H6" s="24" t="n">
        <v>323888</v>
      </c>
      <c r="I6" s="24" t="n">
        <v>338516</v>
      </c>
      <c r="J6" s="24" t="n">
        <v>365725</v>
      </c>
      <c r="K6" s="24" t="n">
        <v>375319</v>
      </c>
      <c r="L6" s="24" t="n">
        <v>321686</v>
      </c>
    </row>
    <row r="7" ht="18.5" customHeight="1" s="105">
      <c r="A7" s="6" t="inlineStr">
        <is>
          <t xml:space="preserve">   Property, Plant and Equipment, Net</t>
        </is>
      </c>
      <c r="B7" s="7" t="n">
        <v>51431</v>
      </c>
      <c r="C7" s="7" t="n">
        <v>49834</v>
      </c>
      <c r="D7" s="7" t="n">
        <v>45680</v>
      </c>
      <c r="E7" s="7" t="n">
        <v>43715</v>
      </c>
      <c r="F7" s="7" t="n">
        <v>42117</v>
      </c>
      <c r="G7" s="7" t="n">
        <v>39440</v>
      </c>
      <c r="H7" s="7" t="n">
        <v>36766</v>
      </c>
      <c r="I7" s="7" t="n">
        <v>37378</v>
      </c>
      <c r="J7" s="7" t="n">
        <v>41304</v>
      </c>
      <c r="K7" s="7" t="n">
        <v>33783</v>
      </c>
      <c r="L7" s="7" t="n">
        <v>27010</v>
      </c>
    </row>
    <row r="8" ht="18.5" customHeight="1" s="105">
      <c r="A8" s="6" t="inlineStr">
        <is>
          <t xml:space="preserve">   Goodwill</t>
        </is>
      </c>
      <c r="B8" s="7" t="n">
        <v>25417</v>
      </c>
      <c r="C8" s="22" t="inlineStr">
        <is>
          <t>-</t>
        </is>
      </c>
      <c r="D8" s="22" t="inlineStr">
        <is>
          <t>-</t>
        </is>
      </c>
      <c r="E8" s="22" t="inlineStr">
        <is>
          <t>-</t>
        </is>
      </c>
      <c r="F8" s="22" t="inlineStr">
        <is>
          <t>-</t>
        </is>
      </c>
      <c r="G8" s="22" t="inlineStr">
        <is>
          <t>-</t>
        </is>
      </c>
      <c r="H8" s="22" t="inlineStr">
        <is>
          <t>-</t>
        </is>
      </c>
      <c r="I8" s="22" t="inlineStr">
        <is>
          <t>-</t>
        </is>
      </c>
      <c r="J8" s="22" t="inlineStr">
        <is>
          <t>-</t>
        </is>
      </c>
      <c r="K8" s="7" t="n">
        <v>5717</v>
      </c>
      <c r="L8" s="7" t="n">
        <v>5414</v>
      </c>
    </row>
    <row r="9" ht="18.5" customHeight="1" s="105">
      <c r="A9" s="12" t="inlineStr">
        <is>
          <t xml:space="preserve">   Intangible Assets, Net (Excluding Goodwill)</t>
        </is>
      </c>
      <c r="B9" s="13" t="n">
        <v>25417</v>
      </c>
      <c r="C9" s="25" t="inlineStr">
        <is>
          <t>-</t>
        </is>
      </c>
      <c r="D9" s="25" t="inlineStr">
        <is>
          <t>-</t>
        </is>
      </c>
      <c r="E9" s="25" t="inlineStr">
        <is>
          <t>-</t>
        </is>
      </c>
      <c r="F9" s="25" t="inlineStr">
        <is>
          <t>-</t>
        </is>
      </c>
      <c r="G9" s="25" t="inlineStr">
        <is>
          <t>-</t>
        </is>
      </c>
      <c r="H9" s="25" t="inlineStr">
        <is>
          <t>-</t>
        </is>
      </c>
      <c r="I9" s="25" t="inlineStr">
        <is>
          <t>-</t>
        </is>
      </c>
      <c r="J9" s="25" t="inlineStr">
        <is>
          <t>-</t>
        </is>
      </c>
      <c r="K9" s="13" t="n">
        <v>2298</v>
      </c>
      <c r="L9" s="13" t="n">
        <v>3206</v>
      </c>
    </row>
    <row r="10" ht="18.5" customHeight="1" s="105">
      <c r="A10" s="18" t="inlineStr">
        <is>
          <t>Current assets:</t>
        </is>
      </c>
      <c r="B10" s="19" t="n"/>
      <c r="C10" s="19" t="n"/>
      <c r="D10" s="19" t="n"/>
      <c r="E10" s="19" t="n"/>
      <c r="F10" s="19" t="n"/>
      <c r="G10" s="19" t="n"/>
      <c r="H10" s="19" t="n"/>
      <c r="I10" s="19" t="n"/>
      <c r="J10" s="19" t="n"/>
      <c r="K10" s="19" t="n"/>
      <c r="L10" s="19" t="n"/>
    </row>
    <row r="11" ht="18.5" customHeight="1" s="105">
      <c r="A11" s="6" t="inlineStr">
        <is>
          <t xml:space="preserve">   Cash and Cash Equivalents, at Carrying Value</t>
        </is>
      </c>
      <c r="B11" s="7" t="n">
        <v>39544</v>
      </c>
      <c r="C11" s="7" t="n">
        <v>35934</v>
      </c>
      <c r="D11" s="7" t="n">
        <v>29943</v>
      </c>
      <c r="E11" s="7" t="n">
        <v>29965</v>
      </c>
      <c r="F11" s="7" t="n">
        <v>23646</v>
      </c>
      <c r="G11" s="7" t="n">
        <v>34940</v>
      </c>
      <c r="H11" s="7" t="n">
        <v>38016</v>
      </c>
      <c r="I11" s="7" t="n">
        <v>48844</v>
      </c>
      <c r="J11" s="7" t="n">
        <v>25913</v>
      </c>
      <c r="K11" s="7" t="n">
        <v>20289</v>
      </c>
      <c r="L11" s="7" t="n">
        <v>20484</v>
      </c>
    </row>
    <row r="12" ht="18.5" customHeight="1" s="105">
      <c r="A12" s="6" t="inlineStr">
        <is>
          <t xml:space="preserve">   Accounts Receivable, after Allowance for Credit Loss, Current</t>
        </is>
      </c>
      <c r="B12" s="7" t="n">
        <v>31398</v>
      </c>
      <c r="C12" s="7" t="n">
        <v>39777</v>
      </c>
      <c r="D12" s="7" t="n">
        <v>33410</v>
      </c>
      <c r="E12" s="7" t="n">
        <v>29508</v>
      </c>
      <c r="F12" s="7" t="n">
        <v>28184</v>
      </c>
      <c r="G12" s="7" t="n">
        <v>26278</v>
      </c>
      <c r="H12" s="7" t="n">
        <v>16120</v>
      </c>
      <c r="I12" s="7" t="n">
        <v>22926</v>
      </c>
      <c r="J12" s="7" t="n">
        <v>23186</v>
      </c>
      <c r="K12" s="7" t="n">
        <v>17874</v>
      </c>
      <c r="L12" s="7" t="n">
        <v>15754</v>
      </c>
    </row>
    <row r="13" ht="18.5" customHeight="1" s="105">
      <c r="A13" s="6" t="inlineStr">
        <is>
          <t xml:space="preserve">   Inventory, Net</t>
        </is>
      </c>
      <c r="B13" s="7" t="n">
        <v>11092</v>
      </c>
      <c r="C13" s="7" t="n">
        <v>5718</v>
      </c>
      <c r="D13" s="7" t="n">
        <v>7286</v>
      </c>
      <c r="E13" s="7" t="n">
        <v>6331</v>
      </c>
      <c r="F13" s="7" t="n">
        <v>4946</v>
      </c>
      <c r="G13" s="7" t="n">
        <v>6580</v>
      </c>
      <c r="H13" s="7" t="n">
        <v>4061</v>
      </c>
      <c r="I13" s="7" t="n">
        <v>4106</v>
      </c>
      <c r="J13" s="7" t="n">
        <v>3956</v>
      </c>
      <c r="K13" s="7" t="n">
        <v>4855</v>
      </c>
      <c r="L13" s="7" t="n">
        <v>2132</v>
      </c>
    </row>
    <row r="14" ht="18.5" customHeight="1" s="105">
      <c r="A14" s="12" t="inlineStr">
        <is>
          <t xml:space="preserve">   Assets, Current</t>
        </is>
      </c>
      <c r="B14" s="13" t="n">
        <v>149818</v>
      </c>
      <c r="C14" s="13" t="n">
        <v>147957</v>
      </c>
      <c r="D14" s="13" t="n">
        <v>152987</v>
      </c>
      <c r="E14" s="13" t="n">
        <v>143566</v>
      </c>
      <c r="F14" s="13" t="n">
        <v>135405</v>
      </c>
      <c r="G14" s="13" t="n">
        <v>134836</v>
      </c>
      <c r="H14" s="13" t="n">
        <v>143713</v>
      </c>
      <c r="I14" s="13" t="n">
        <v>162819</v>
      </c>
      <c r="J14" s="13" t="n">
        <v>131339</v>
      </c>
      <c r="K14" s="13" t="n">
        <v>128645</v>
      </c>
      <c r="L14" s="13" t="n">
        <v>106869</v>
      </c>
    </row>
    <row r="15" ht="18.5" customHeight="1" s="105">
      <c r="A15" s="6" t="inlineStr">
        <is>
          <t xml:space="preserve">   Operating Lease, Right-of-Use Asset</t>
        </is>
      </c>
      <c r="B15" s="7" t="n">
        <v>11205</v>
      </c>
      <c r="C15" s="7" t="n">
        <v>11205</v>
      </c>
      <c r="D15" s="7" t="n">
        <v>10234</v>
      </c>
      <c r="E15" s="7" t="n">
        <v>10661</v>
      </c>
      <c r="F15" s="7" t="n">
        <v>10417</v>
      </c>
      <c r="G15" s="7" t="n">
        <v>10087</v>
      </c>
      <c r="H15" s="7" t="n">
        <v>8570</v>
      </c>
      <c r="I15" s="22" t="inlineStr">
        <is>
          <t>-</t>
        </is>
      </c>
      <c r="J15" s="22" t="inlineStr">
        <is>
          <t>-</t>
        </is>
      </c>
      <c r="K15" s="22" t="inlineStr">
        <is>
          <t>-</t>
        </is>
      </c>
      <c r="L15" s="22" t="inlineStr">
        <is>
          <t>-</t>
        </is>
      </c>
    </row>
    <row r="16" ht="18.5" customHeight="1" s="105">
      <c r="A16" s="12" t="inlineStr">
        <is>
          <t xml:space="preserve">   Other Assets, Noncurrent</t>
        </is>
      </c>
      <c r="B16" s="13" t="n">
        <v>77557</v>
      </c>
      <c r="C16" s="13" t="n">
        <v>83727</v>
      </c>
      <c r="D16" s="13" t="n">
        <v>74834</v>
      </c>
      <c r="E16" s="13" t="n">
        <v>64758</v>
      </c>
      <c r="F16" s="13" t="n">
        <v>54428</v>
      </c>
      <c r="G16" s="13" t="n">
        <v>48849</v>
      </c>
      <c r="H16" s="13" t="n">
        <v>42522</v>
      </c>
      <c r="I16" s="13" t="n">
        <v>32978</v>
      </c>
      <c r="J16" s="13" t="n">
        <v>22283</v>
      </c>
      <c r="K16" s="13" t="n">
        <v>10162</v>
      </c>
      <c r="L16" s="13" t="n">
        <v>8757</v>
      </c>
    </row>
    <row r="17" ht="18.5" customHeight="1" s="105">
      <c r="A17" s="18" t="inlineStr">
        <is>
          <t>LIABILITIES AND EQUITY</t>
        </is>
      </c>
      <c r="B17" s="19" t="n"/>
      <c r="C17" s="19" t="n"/>
      <c r="D17" s="19" t="n"/>
      <c r="E17" s="19" t="n"/>
      <c r="F17" s="19" t="n"/>
      <c r="G17" s="19" t="n"/>
      <c r="H17" s="19" t="n"/>
      <c r="I17" s="19" t="n"/>
      <c r="J17" s="19" t="n"/>
      <c r="K17" s="19" t="n"/>
      <c r="L17" s="19" t="n"/>
    </row>
    <row r="18" ht="18.5" customHeight="1" s="105">
      <c r="A18" s="12" t="inlineStr">
        <is>
          <t xml:space="preserve">   Liabilities</t>
        </is>
      </c>
      <c r="B18" s="13" t="n">
        <v>275746</v>
      </c>
      <c r="C18" s="13" t="n">
        <v>285508</v>
      </c>
      <c r="D18" s="13" t="n">
        <v>308030</v>
      </c>
      <c r="E18" s="13" t="n">
        <v>290437</v>
      </c>
      <c r="F18" s="13" t="n">
        <v>302083</v>
      </c>
      <c r="G18" s="13" t="n">
        <v>287912</v>
      </c>
      <c r="H18" s="13" t="n">
        <v>258549</v>
      </c>
      <c r="I18" s="13" t="n">
        <v>248028</v>
      </c>
      <c r="J18" s="13" t="n">
        <v>258578</v>
      </c>
      <c r="K18" s="13" t="n">
        <v>241272</v>
      </c>
      <c r="L18" s="13" t="n">
        <v>193437</v>
      </c>
    </row>
    <row r="19" ht="18.5" customHeight="1" s="105">
      <c r="A19" s="18" t="inlineStr">
        <is>
          <t>Stockholders’ equity:</t>
        </is>
      </c>
      <c r="B19" s="19" t="n"/>
      <c r="C19" s="19" t="n"/>
      <c r="D19" s="19" t="n"/>
      <c r="E19" s="19" t="n"/>
      <c r="F19" s="19" t="n"/>
      <c r="G19" s="19" t="n"/>
      <c r="H19" s="19" t="n"/>
      <c r="I19" s="19" t="n"/>
      <c r="J19" s="19" t="n"/>
      <c r="K19" s="19" t="n"/>
      <c r="L19" s="19" t="n"/>
    </row>
    <row r="20" ht="18.5" customHeight="1" s="105">
      <c r="A20" s="6" t="inlineStr">
        <is>
          <t xml:space="preserve">   Retained Earnings (Accumulated Deficit)</t>
        </is>
      </c>
      <c r="B20" s="7" t="n">
        <v>11326</v>
      </c>
      <c r="C20" s="7" t="n">
        <v>-14264</v>
      </c>
      <c r="D20" s="7" t="n">
        <v>-19154</v>
      </c>
      <c r="E20" s="7" t="n">
        <v>-214</v>
      </c>
      <c r="F20" s="7" t="n">
        <v>-3068</v>
      </c>
      <c r="G20" s="7" t="n">
        <v>5562</v>
      </c>
      <c r="H20" s="7" t="n">
        <v>14966</v>
      </c>
      <c r="I20" s="7" t="n">
        <v>45898</v>
      </c>
      <c r="J20" s="7" t="n">
        <v>70400</v>
      </c>
      <c r="K20" s="7" t="n">
        <v>98330</v>
      </c>
      <c r="L20" s="7" t="n">
        <v>96364</v>
      </c>
    </row>
    <row r="21" ht="18.5" customHeight="1" s="105">
      <c r="A21" s="6" t="inlineStr">
        <is>
          <t xml:space="preserve">   Accumulated Other Comprehensive Income (Loss), Net of Tax</t>
        </is>
      </c>
      <c r="B21" s="7" t="n">
        <v>-4508</v>
      </c>
      <c r="C21" s="7" t="n">
        <v>-5571</v>
      </c>
      <c r="D21" s="7" t="n">
        <v>-7172</v>
      </c>
      <c r="E21" s="7" t="n">
        <v>-11452</v>
      </c>
      <c r="F21" s="7" t="n">
        <v>-11109</v>
      </c>
      <c r="G21" s="7" t="n">
        <v>163</v>
      </c>
      <c r="H21" s="7" t="n">
        <v>-406</v>
      </c>
      <c r="I21" s="7" t="n">
        <v>-584</v>
      </c>
      <c r="J21" s="7" t="n">
        <v>-3454</v>
      </c>
      <c r="K21" s="7" t="n">
        <v>-150</v>
      </c>
      <c r="L21" s="7" t="n">
        <v>634</v>
      </c>
    </row>
    <row r="22" ht="18.5" customHeight="1" s="105">
      <c r="A22" s="12" t="inlineStr">
        <is>
          <t xml:space="preserve">   Stockholders' Equity Attributable to Parent</t>
        </is>
      </c>
      <c r="B22" s="13" t="n">
        <v>107520</v>
      </c>
      <c r="C22" s="13" t="n">
        <v>73733</v>
      </c>
      <c r="D22" s="13" t="n">
        <v>56950</v>
      </c>
      <c r="E22" s="13" t="n">
        <v>62146</v>
      </c>
      <c r="F22" s="13" t="n">
        <v>50672</v>
      </c>
      <c r="G22" s="13" t="n">
        <v>63090</v>
      </c>
      <c r="H22" s="13" t="n">
        <v>65339</v>
      </c>
      <c r="I22" s="13" t="n">
        <v>90488</v>
      </c>
      <c r="J22" s="13" t="n">
        <v>107147</v>
      </c>
      <c r="K22" s="13" t="n">
        <v>134047</v>
      </c>
      <c r="L22" s="13" t="n">
        <v>128249</v>
      </c>
    </row>
    <row r="23" ht="18.5" customHeight="1" s="105">
      <c r="A23" s="23" t="inlineStr">
        <is>
          <t xml:space="preserve">   Liabilities and Equity</t>
        </is>
      </c>
      <c r="B23" s="24" t="n">
        <v>383266</v>
      </c>
      <c r="C23" s="24" t="n">
        <v>359241</v>
      </c>
      <c r="D23" s="24" t="n">
        <v>364980</v>
      </c>
      <c r="E23" s="24" t="n">
        <v>352583</v>
      </c>
      <c r="F23" s="24" t="n">
        <v>352755</v>
      </c>
      <c r="G23" s="24" t="n">
        <v>351002</v>
      </c>
      <c r="H23" s="24" t="n">
        <v>323888</v>
      </c>
      <c r="I23" s="24" t="n">
        <v>338516</v>
      </c>
      <c r="J23" s="24" t="n">
        <v>365725</v>
      </c>
      <c r="K23" s="24" t="n">
        <v>375319</v>
      </c>
      <c r="L23" s="24" t="n">
        <v>321686</v>
      </c>
    </row>
    <row r="24" ht="18.5" customHeight="1" s="105">
      <c r="A24" s="18" t="inlineStr">
        <is>
          <t>Current liabilities:</t>
        </is>
      </c>
      <c r="B24" s="19" t="n"/>
      <c r="C24" s="19" t="n"/>
      <c r="D24" s="19" t="n"/>
      <c r="E24" s="19" t="n"/>
      <c r="F24" s="19" t="n"/>
      <c r="G24" s="19" t="n"/>
      <c r="H24" s="19" t="n"/>
      <c r="I24" s="19" t="n"/>
      <c r="J24" s="19" t="n"/>
      <c r="K24" s="19" t="n"/>
      <c r="L24" s="19" t="n"/>
    </row>
    <row r="25" ht="18.5" customHeight="1" s="105">
      <c r="A25" s="12" t="inlineStr">
        <is>
          <t xml:space="preserve">   Liabilities, Current</t>
        </is>
      </c>
      <c r="B25" s="13" t="n">
        <v>149326</v>
      </c>
      <c r="C25" s="13" t="n">
        <v>165631</v>
      </c>
      <c r="D25" s="13" t="n">
        <v>176392</v>
      </c>
      <c r="E25" s="13" t="n">
        <v>145308</v>
      </c>
      <c r="F25" s="13" t="n">
        <v>153982</v>
      </c>
      <c r="G25" s="13" t="n">
        <v>125481</v>
      </c>
      <c r="H25" s="13" t="n">
        <v>105392</v>
      </c>
      <c r="I25" s="13" t="n">
        <v>105718</v>
      </c>
      <c r="J25" s="13" t="n">
        <v>116866</v>
      </c>
      <c r="K25" s="13" t="n">
        <v>100814</v>
      </c>
      <c r="L25" s="13" t="n">
        <v>79006</v>
      </c>
    </row>
    <row r="26" ht="18.5" customHeight="1" s="105">
      <c r="A26" s="6" t="inlineStr">
        <is>
          <t xml:space="preserve">   Operating Lease, Liability, Current</t>
        </is>
      </c>
      <c r="B26" s="7" t="n">
        <v>1579</v>
      </c>
      <c r="C26" s="7" t="n">
        <v>1579</v>
      </c>
      <c r="D26" s="7" t="n">
        <v>1488</v>
      </c>
      <c r="E26" s="7" t="n">
        <v>1410</v>
      </c>
      <c r="F26" s="7" t="n">
        <v>1534</v>
      </c>
      <c r="G26" s="7" t="n">
        <v>1449</v>
      </c>
      <c r="H26" s="7" t="n">
        <v>1436</v>
      </c>
      <c r="I26" s="22" t="inlineStr">
        <is>
          <t>-</t>
        </is>
      </c>
      <c r="J26" s="22" t="inlineStr">
        <is>
          <t>-</t>
        </is>
      </c>
      <c r="K26" s="22" t="inlineStr">
        <is>
          <t>-</t>
        </is>
      </c>
      <c r="L26" s="22" t="inlineStr">
        <is>
          <t>-</t>
        </is>
      </c>
    </row>
    <row r="27" ht="18.5" customHeight="1" s="105">
      <c r="A27" s="6" t="inlineStr">
        <is>
          <t xml:space="preserve">   Accounts Payable, Current</t>
        </is>
      </c>
      <c r="B27" s="7" t="n">
        <v>64525</v>
      </c>
      <c r="C27" s="7" t="n">
        <v>69860</v>
      </c>
      <c r="D27" s="7" t="n">
        <v>68960</v>
      </c>
      <c r="E27" s="7" t="n">
        <v>62611</v>
      </c>
      <c r="F27" s="7" t="n">
        <v>64115</v>
      </c>
      <c r="G27" s="7" t="n">
        <v>54763</v>
      </c>
      <c r="H27" s="7" t="n">
        <v>42296</v>
      </c>
      <c r="I27" s="7" t="n">
        <v>46236</v>
      </c>
      <c r="J27" s="7" t="n">
        <v>55888</v>
      </c>
      <c r="K27" s="7" t="n">
        <v>49049</v>
      </c>
      <c r="L27" s="7" t="n">
        <v>37294</v>
      </c>
    </row>
    <row r="28" ht="18.5" customHeight="1" s="105">
      <c r="A28" s="12" t="inlineStr">
        <is>
          <t xml:space="preserve">   Accrued Liabilities, Current</t>
        </is>
      </c>
      <c r="B28" s="25" t="inlineStr">
        <is>
          <t>-</t>
        </is>
      </c>
      <c r="C28" s="25" t="inlineStr">
        <is>
          <t>-</t>
        </is>
      </c>
      <c r="D28" s="25" t="inlineStr">
        <is>
          <t>-</t>
        </is>
      </c>
      <c r="E28" s="25" t="inlineStr">
        <is>
          <t>-</t>
        </is>
      </c>
      <c r="F28" s="25" t="inlineStr">
        <is>
          <t>-</t>
        </is>
      </c>
      <c r="G28" s="25" t="inlineStr">
        <is>
          <t>-</t>
        </is>
      </c>
      <c r="H28" s="25" t="inlineStr">
        <is>
          <t>-</t>
        </is>
      </c>
      <c r="I28" s="25" t="inlineStr">
        <is>
          <t>-</t>
        </is>
      </c>
      <c r="J28" s="25" t="inlineStr">
        <is>
          <t>-</t>
        </is>
      </c>
      <c r="K28" s="13" t="n">
        <v>25744</v>
      </c>
      <c r="L28" s="13" t="n">
        <v>22027</v>
      </c>
    </row>
    <row r="29" ht="18.5" customHeight="1" s="105">
      <c r="A29" s="6" t="inlineStr">
        <is>
          <t xml:space="preserve">   Operating Lease, Liability, Noncurrent</t>
        </is>
      </c>
      <c r="B29" s="7" t="n">
        <v>10911</v>
      </c>
      <c r="C29" s="7" t="n">
        <v>10911</v>
      </c>
      <c r="D29" s="7" t="n">
        <v>10046</v>
      </c>
      <c r="E29" s="7" t="n">
        <v>10408</v>
      </c>
      <c r="F29" s="7" t="n">
        <v>9936</v>
      </c>
      <c r="G29" s="7" t="n">
        <v>9506</v>
      </c>
      <c r="H29" s="7" t="n">
        <v>7745</v>
      </c>
      <c r="I29" s="22" t="inlineStr">
        <is>
          <t>-</t>
        </is>
      </c>
      <c r="J29" s="22" t="inlineStr">
        <is>
          <t>-</t>
        </is>
      </c>
      <c r="K29" s="22" t="inlineStr">
        <is>
          <t>-</t>
        </is>
      </c>
      <c r="L29" s="22" t="inlineStr">
        <is>
          <t>-</t>
        </is>
      </c>
    </row>
    <row r="30" ht="18.5" customHeight="1" s="105">
      <c r="A30" s="12" t="inlineStr">
        <is>
          <t xml:space="preserve">   Deferred Income Tax Liabilities, Net</t>
        </is>
      </c>
      <c r="B30" s="25" t="inlineStr">
        <is>
          <t>-</t>
        </is>
      </c>
      <c r="C30" s="25" t="inlineStr">
        <is>
          <t>-</t>
        </is>
      </c>
      <c r="D30" s="25" t="inlineStr">
        <is>
          <t>-</t>
        </is>
      </c>
      <c r="E30" s="25" t="inlineStr">
        <is>
          <t>-</t>
        </is>
      </c>
      <c r="F30" s="25" t="inlineStr">
        <is>
          <t>-</t>
        </is>
      </c>
      <c r="G30" s="25" t="inlineStr">
        <is>
          <t>-</t>
        </is>
      </c>
      <c r="H30" s="25" t="inlineStr">
        <is>
          <t>-</t>
        </is>
      </c>
      <c r="I30" s="25" t="inlineStr">
        <is>
          <t>-</t>
        </is>
      </c>
      <c r="J30" s="25" t="inlineStr">
        <is>
          <t>-</t>
        </is>
      </c>
      <c r="K30" s="25" t="inlineStr">
        <is>
          <t>-</t>
        </is>
      </c>
      <c r="L30" s="13" t="n">
        <v>21906</v>
      </c>
    </row>
    <row r="31" ht="18.5" customHeight="1" s="105">
      <c r="A31" s="12" t="inlineStr">
        <is>
          <t xml:space="preserve">   Other Liabilities, Noncurrent</t>
        </is>
      </c>
      <c r="B31" s="13" t="n">
        <v>55080</v>
      </c>
      <c r="C31" s="13" t="n">
        <v>41549</v>
      </c>
      <c r="D31" s="13" t="n">
        <v>45888</v>
      </c>
      <c r="E31" s="13" t="n">
        <v>49848</v>
      </c>
      <c r="F31" s="13" t="n">
        <v>49142</v>
      </c>
      <c r="G31" s="13" t="n">
        <v>53325</v>
      </c>
      <c r="H31" s="13" t="n">
        <v>54490</v>
      </c>
      <c r="I31" s="13" t="n">
        <v>50503</v>
      </c>
      <c r="J31" s="13" t="n">
        <v>45180</v>
      </c>
      <c r="K31" s="13" t="n">
        <v>40415</v>
      </c>
      <c r="L31" s="13" t="n">
        <v>36074</v>
      </c>
    </row>
    <row r="32" ht="18.5" customHeight="1" s="105">
      <c r="A32" s="6" t="inlineStr">
        <is>
          <t xml:space="preserve">   Long-term Debt, Excluding Current Maturities</t>
        </is>
      </c>
      <c r="B32" s="7" t="n">
        <v>71340</v>
      </c>
      <c r="C32" s="7" t="n">
        <v>78328</v>
      </c>
      <c r="D32" s="7" t="n">
        <v>85750</v>
      </c>
      <c r="E32" s="7" t="n">
        <v>95281</v>
      </c>
      <c r="F32" s="7" t="n">
        <v>98959</v>
      </c>
      <c r="G32" s="7" t="n">
        <v>109106</v>
      </c>
      <c r="H32" s="7" t="n">
        <v>98667</v>
      </c>
      <c r="I32" s="7" t="n">
        <v>91807</v>
      </c>
      <c r="J32" s="7" t="n">
        <v>93735</v>
      </c>
      <c r="K32" s="7" t="n">
        <v>97207</v>
      </c>
      <c r="L32" s="7" t="n">
        <v>75427</v>
      </c>
    </row>
    <row r="33" ht="18.5" customHeight="1" s="105">
      <c r="A33" s="6" t="inlineStr">
        <is>
          <t xml:space="preserve">   Additional Financial Items</t>
        </is>
      </c>
      <c r="B33" s="22" t="inlineStr">
        <is>
          <t>-</t>
        </is>
      </c>
      <c r="C33" s="22" t="inlineStr">
        <is>
          <t>-</t>
        </is>
      </c>
      <c r="D33" s="22" t="inlineStr">
        <is>
          <t>-</t>
        </is>
      </c>
      <c r="E33" s="22" t="inlineStr">
        <is>
          <t>-</t>
        </is>
      </c>
      <c r="F33" s="22" t="inlineStr">
        <is>
          <t>-</t>
        </is>
      </c>
      <c r="G33" s="22" t="inlineStr">
        <is>
          <t>-</t>
        </is>
      </c>
      <c r="H33" s="22" t="inlineStr">
        <is>
          <t>-</t>
        </is>
      </c>
      <c r="I33" s="22" t="inlineStr">
        <is>
          <t>-</t>
        </is>
      </c>
      <c r="J33" s="22" t="inlineStr">
        <is>
          <t>-</t>
        </is>
      </c>
      <c r="K33" s="22" t="inlineStr">
        <is>
          <t>-</t>
        </is>
      </c>
      <c r="L33" s="22" t="inlineStr">
        <is>
          <t>-</t>
        </is>
      </c>
    </row>
    <row r="34" ht="18.5" customHeight="1" s="105">
      <c r="A34" s="6" t="inlineStr">
        <is>
          <t xml:space="preserve">   Deferred Revenue, Current</t>
        </is>
      </c>
      <c r="B34" s="22" t="inlineStr">
        <is>
          <t>-</t>
        </is>
      </c>
      <c r="C34" s="22" t="inlineStr">
        <is>
          <t>-</t>
        </is>
      </c>
      <c r="D34" s="22" t="inlineStr">
        <is>
          <t>-</t>
        </is>
      </c>
      <c r="E34" s="22" t="inlineStr">
        <is>
          <t>-</t>
        </is>
      </c>
      <c r="F34" s="22" t="inlineStr">
        <is>
          <t>-</t>
        </is>
      </c>
      <c r="G34" s="22" t="inlineStr">
        <is>
          <t>-</t>
        </is>
      </c>
      <c r="H34" s="22" t="inlineStr">
        <is>
          <t>-</t>
        </is>
      </c>
      <c r="I34" s="22" t="inlineStr">
        <is>
          <t>-</t>
        </is>
      </c>
      <c r="J34" s="7" t="n">
        <v>7543</v>
      </c>
      <c r="K34" s="7" t="n">
        <v>7548</v>
      </c>
      <c r="L34" s="7" t="n">
        <v>8080</v>
      </c>
    </row>
    <row r="35" ht="18.5" customHeight="1" s="105">
      <c r="A35" s="6" t="inlineStr">
        <is>
          <t xml:space="preserve">   Deferred Revenue, Noncurrent</t>
        </is>
      </c>
      <c r="B35" s="22" t="inlineStr">
        <is>
          <t>-</t>
        </is>
      </c>
      <c r="C35" s="22" t="inlineStr">
        <is>
          <t>-</t>
        </is>
      </c>
      <c r="D35" s="22" t="inlineStr">
        <is>
          <t>-</t>
        </is>
      </c>
      <c r="E35" s="22" t="inlineStr">
        <is>
          <t>-</t>
        </is>
      </c>
      <c r="F35" s="22" t="inlineStr">
        <is>
          <t>-</t>
        </is>
      </c>
      <c r="G35" s="22" t="inlineStr">
        <is>
          <t>-</t>
        </is>
      </c>
      <c r="H35" s="22" t="inlineStr">
        <is>
          <t>-</t>
        </is>
      </c>
      <c r="I35" s="22" t="inlineStr">
        <is>
          <t>-</t>
        </is>
      </c>
      <c r="J35" s="7" t="n">
        <v>2797</v>
      </c>
      <c r="K35" s="7" t="n">
        <v>2836</v>
      </c>
      <c r="L35" s="7" t="n">
        <v>2930</v>
      </c>
    </row>
    <row r="36" ht="18.5" customHeight="1" s="105">
      <c r="A36" s="12" t="inlineStr">
        <is>
          <t xml:space="preserve">   Deferred Tax Liabilities, Net</t>
        </is>
      </c>
      <c r="B36" s="25" t="inlineStr">
        <is>
          <t>-</t>
        </is>
      </c>
      <c r="C36" s="25" t="inlineStr">
        <is>
          <t>-</t>
        </is>
      </c>
      <c r="D36" s="25" t="inlineStr">
        <is>
          <t>-</t>
        </is>
      </c>
      <c r="E36" s="25" t="inlineStr">
        <is>
          <t>-</t>
        </is>
      </c>
      <c r="F36" s="25" t="inlineStr">
        <is>
          <t>-</t>
        </is>
      </c>
      <c r="G36" s="25" t="inlineStr">
        <is>
          <t>-</t>
        </is>
      </c>
      <c r="H36" s="25" t="inlineStr">
        <is>
          <t>-</t>
        </is>
      </c>
      <c r="I36" s="25" t="inlineStr">
        <is>
          <t>-</t>
        </is>
      </c>
      <c r="J36" s="25" t="inlineStr">
        <is>
          <t>-</t>
        </is>
      </c>
      <c r="K36" s="13" t="n">
        <v>27588</v>
      </c>
      <c r="L36" s="25" t="inlineStr">
        <is>
          <t>-</t>
        </is>
      </c>
    </row>
    <row r="37" ht="18.5" customHeight="1" s="105">
      <c r="A37" s="6" t="inlineStr">
        <is>
          <t xml:space="preserve">   Long-term Debt</t>
        </is>
      </c>
      <c r="B37" s="7" t="n">
        <v>82300</v>
      </c>
      <c r="C37" s="7" t="n">
        <v>90678</v>
      </c>
      <c r="D37" s="7" t="n">
        <v>96662</v>
      </c>
      <c r="E37" s="7" t="n">
        <v>105103</v>
      </c>
      <c r="F37" s="7" t="n">
        <v>98959</v>
      </c>
      <c r="G37" s="7" t="n">
        <v>109106</v>
      </c>
      <c r="H37" s="7" t="n">
        <v>98667</v>
      </c>
      <c r="I37" s="7" t="n">
        <v>91807</v>
      </c>
      <c r="J37" s="7" t="n">
        <v>93735</v>
      </c>
      <c r="K37" s="7" t="n">
        <v>97207</v>
      </c>
      <c r="L37" s="7" t="n">
        <v>75427</v>
      </c>
    </row>
    <row r="38" ht="18.5" customHeight="1" s="105">
      <c r="A38" s="6" t="inlineStr">
        <is>
          <t xml:space="preserve">   Long-term Debt, Current Maturities</t>
        </is>
      </c>
      <c r="B38" s="7" t="n">
        <v>11007</v>
      </c>
      <c r="C38" s="7" t="n">
        <v>12350</v>
      </c>
      <c r="D38" s="7" t="n">
        <v>10912</v>
      </c>
      <c r="E38" s="7" t="n">
        <v>9822</v>
      </c>
      <c r="F38" s="7" t="n">
        <v>11128</v>
      </c>
      <c r="G38" s="7" t="n">
        <v>9613</v>
      </c>
      <c r="H38" s="7" t="n">
        <v>8773</v>
      </c>
      <c r="I38" s="7" t="n">
        <v>10260</v>
      </c>
      <c r="J38" s="7" t="n">
        <v>8784</v>
      </c>
      <c r="K38" s="7" t="n">
        <v>6496</v>
      </c>
      <c r="L38" s="7" t="n">
        <v>3500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3"/>
  <sheetViews>
    <sheetView showGridLines="1" workbookViewId="0">
      <pane xSplit="1" ySplit="4" topLeftCell="B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10" defaultColWidth="9.140625" defaultRowHeight="15"/>
  <cols>
    <col width="50" customWidth="1" style="105" min="1" max="1"/>
    <col width="14.5" customWidth="1" style="105" min="2" max="12"/>
    <col width="14.5" customWidth="1" style="105" min="3" max="3"/>
    <col width="14.5" customWidth="1" style="105" min="4" max="4"/>
    <col width="14.5" customWidth="1" style="105" min="5" max="5"/>
    <col width="14.5" customWidth="1" style="105" min="6" max="6"/>
    <col width="14.5" customWidth="1" style="105" min="7" max="7"/>
    <col width="14.5" customWidth="1" style="105" min="8" max="8"/>
    <col width="14.5" customWidth="1" style="105" min="9" max="9"/>
    <col width="14.5" customWidth="1" style="105" min="10" max="10"/>
    <col width="14.5" customWidth="1" style="105" min="11" max="11"/>
    <col width="14.5" customWidth="1" style="105" min="12" max="12"/>
  </cols>
  <sheetData>
    <row r="1" ht="30" customHeight="1" s="105">
      <c r="A1" s="1" t="inlineStr">
        <is>
          <t>Apple Inc. (AAPL) - Estado de Flujos de Efectivo</t>
        </is>
      </c>
    </row>
    <row r="2" ht="18" customHeight="1" s="105">
      <c r="A2" s="2" t="inlineStr">
        <is>
          <t>Cifras expresadas en Millones de USD ($M) | Conciliación de CFO, CFI y CFF</t>
        </is>
      </c>
    </row>
    <row r="3" ht="8" customHeight="1" s="105"/>
    <row r="4" ht="24.95" customHeight="1" s="105">
      <c r="A4" s="3" t="inlineStr">
        <is>
          <t>Actividad / Flujo de Fondos</t>
        </is>
      </c>
      <c r="B4" s="4" t="inlineStr">
        <is>
          <t>LTM</t>
        </is>
      </c>
      <c r="C4" s="5" t="inlineStr">
        <is>
          <t>FY2025</t>
        </is>
      </c>
      <c r="D4" s="5" t="inlineStr">
        <is>
          <t>FY2024</t>
        </is>
      </c>
      <c r="E4" s="5" t="inlineStr">
        <is>
          <t>FY2023</t>
        </is>
      </c>
      <c r="F4" s="5" t="inlineStr">
        <is>
          <t>FY2022</t>
        </is>
      </c>
      <c r="G4" s="5" t="inlineStr">
        <is>
          <t>FY2021</t>
        </is>
      </c>
      <c r="H4" s="5" t="inlineStr">
        <is>
          <t>FY2020</t>
        </is>
      </c>
      <c r="I4" s="5" t="inlineStr">
        <is>
          <t>FY2019</t>
        </is>
      </c>
      <c r="J4" s="5" t="inlineStr">
        <is>
          <t>FY2018</t>
        </is>
      </c>
      <c r="K4" s="5" t="inlineStr">
        <is>
          <t>FY2017</t>
        </is>
      </c>
      <c r="L4" s="5" t="inlineStr">
        <is>
          <t>FY2016</t>
        </is>
      </c>
    </row>
    <row r="5" ht="18.5" customHeight="1" s="105">
      <c r="A5" s="18" t="inlineStr">
        <is>
          <t>Cash flows from operating activities:</t>
        </is>
      </c>
      <c r="B5" s="19" t="n"/>
      <c r="C5" s="19" t="n"/>
      <c r="D5" s="19" t="n"/>
      <c r="E5" s="19" t="n"/>
      <c r="F5" s="19" t="n"/>
      <c r="G5" s="19" t="n"/>
      <c r="H5" s="19" t="n"/>
      <c r="I5" s="19" t="n"/>
      <c r="J5" s="19" t="n"/>
      <c r="K5" s="19" t="n"/>
      <c r="L5" s="19" t="n"/>
    </row>
    <row r="6" ht="18.5" customHeight="1" s="105">
      <c r="A6" s="18" t="inlineStr">
        <is>
          <t>Adjustments to reconcile net income to net cash provided by operating activities:</t>
        </is>
      </c>
      <c r="B6" s="19" t="n"/>
      <c r="C6" s="19" t="n"/>
      <c r="D6" s="19" t="n"/>
      <c r="E6" s="19" t="n"/>
      <c r="F6" s="19" t="n"/>
      <c r="G6" s="19" t="n"/>
      <c r="H6" s="19" t="n"/>
      <c r="I6" s="19" t="n"/>
      <c r="J6" s="19" t="n"/>
      <c r="K6" s="19" t="n"/>
      <c r="L6" s="19" t="n"/>
    </row>
    <row r="7" ht="18.5" customHeight="1" s="105">
      <c r="A7" s="6" t="inlineStr">
        <is>
          <t xml:space="preserve">   Depreciation, Depletion and Amortization</t>
        </is>
      </c>
      <c r="B7" s="7" t="n">
        <v>13100</v>
      </c>
      <c r="C7" s="7" t="n">
        <v>11698</v>
      </c>
      <c r="D7" s="7" t="n">
        <v>11445</v>
      </c>
      <c r="E7" s="7" t="n">
        <v>11519</v>
      </c>
      <c r="F7" s="7" t="n">
        <v>11104</v>
      </c>
      <c r="G7" s="7" t="n">
        <v>11284</v>
      </c>
      <c r="H7" s="7" t="n">
        <v>11056</v>
      </c>
      <c r="I7" s="7" t="n">
        <v>12547</v>
      </c>
      <c r="J7" s="7" t="n">
        <v>10903</v>
      </c>
      <c r="K7" s="7" t="n">
        <v>8200</v>
      </c>
      <c r="L7" s="7" t="n">
        <v>8300</v>
      </c>
    </row>
    <row r="8" ht="18.5" customHeight="1" s="105">
      <c r="A8" s="6" t="inlineStr">
        <is>
          <t xml:space="preserve">   Share-based Payment Arrangement, Noncash Expense</t>
        </is>
      </c>
      <c r="B8" s="7" t="n">
        <v>13706</v>
      </c>
      <c r="C8" s="7" t="n">
        <v>12863</v>
      </c>
      <c r="D8" s="7" t="n">
        <v>11688</v>
      </c>
      <c r="E8" s="7" t="n">
        <v>10833</v>
      </c>
      <c r="F8" s="7" t="n">
        <v>9038</v>
      </c>
      <c r="G8" s="7" t="n">
        <v>7906</v>
      </c>
      <c r="H8" s="7" t="n">
        <v>6829</v>
      </c>
      <c r="I8" s="7" t="n">
        <v>6068</v>
      </c>
      <c r="J8" s="7" t="n">
        <v>5340</v>
      </c>
      <c r="K8" s="7" t="n">
        <v>4840</v>
      </c>
      <c r="L8" s="7" t="n">
        <v>4210</v>
      </c>
    </row>
    <row r="9" ht="18.5" customHeight="1" s="105">
      <c r="A9" s="18" t="inlineStr">
        <is>
          <t>Changes in operating assets and liabilities:</t>
        </is>
      </c>
      <c r="B9" s="19" t="n"/>
      <c r="C9" s="19" t="n"/>
      <c r="D9" s="19" t="n"/>
      <c r="E9" s="19" t="n"/>
      <c r="F9" s="19" t="n"/>
      <c r="G9" s="19" t="n"/>
      <c r="H9" s="19" t="n"/>
      <c r="I9" s="19" t="n"/>
      <c r="J9" s="19" t="n"/>
      <c r="K9" s="19" t="n"/>
      <c r="L9" s="19" t="n"/>
    </row>
    <row r="10" ht="18.5" customHeight="1" s="105">
      <c r="A10" s="6" t="inlineStr">
        <is>
          <t xml:space="preserve">   Increase (Decrease) in Accounts Receivable</t>
        </is>
      </c>
      <c r="B10" s="7" t="n">
        <v>9313</v>
      </c>
      <c r="C10" s="7" t="n">
        <v>6682</v>
      </c>
      <c r="D10" s="7" t="n">
        <v>3788</v>
      </c>
      <c r="E10" s="7" t="n">
        <v>1688</v>
      </c>
      <c r="F10" s="7" t="n">
        <v>1823</v>
      </c>
      <c r="G10" s="7" t="n">
        <v>10125</v>
      </c>
      <c r="H10" s="7" t="n">
        <v>-6917</v>
      </c>
      <c r="I10" s="7" t="n">
        <v>-245</v>
      </c>
      <c r="J10" s="7" t="n">
        <v>5322</v>
      </c>
      <c r="K10" s="7" t="n">
        <v>2093</v>
      </c>
      <c r="L10" s="7" t="n">
        <v>-1095</v>
      </c>
    </row>
    <row r="11" ht="18.5" customHeight="1" s="105">
      <c r="A11" s="6" t="inlineStr">
        <is>
          <t xml:space="preserve">   Increase (Decrease) in Inventories</t>
        </is>
      </c>
      <c r="B11" s="7" t="n">
        <v>-8084</v>
      </c>
      <c r="C11" s="7" t="n">
        <v>-1400</v>
      </c>
      <c r="D11" s="7" t="n">
        <v>1046</v>
      </c>
      <c r="E11" s="7" t="n">
        <v>1618</v>
      </c>
      <c r="F11" s="7" t="n">
        <v>-1484</v>
      </c>
      <c r="G11" s="7" t="n">
        <v>2642</v>
      </c>
      <c r="H11" s="7" t="n">
        <v>127</v>
      </c>
      <c r="I11" s="7" t="n">
        <v>289</v>
      </c>
      <c r="J11" s="7" t="n">
        <v>-828</v>
      </c>
      <c r="K11" s="7" t="n">
        <v>2723</v>
      </c>
      <c r="L11" s="7" t="n">
        <v>-217</v>
      </c>
    </row>
    <row r="12" ht="18.5" customHeight="1" s="105">
      <c r="A12" s="6" t="inlineStr">
        <is>
          <t xml:space="preserve">   Increase (Decrease) in Accounts Payable</t>
        </is>
      </c>
      <c r="B12" s="7" t="n">
        <v>-12374</v>
      </c>
      <c r="C12" s="7" t="n">
        <v>902</v>
      </c>
      <c r="D12" s="7" t="n">
        <v>6020</v>
      </c>
      <c r="E12" s="7" t="n">
        <v>-1889</v>
      </c>
      <c r="F12" s="7" t="n">
        <v>9448</v>
      </c>
      <c r="G12" s="7" t="n">
        <v>12326</v>
      </c>
      <c r="H12" s="7" t="n">
        <v>-4062</v>
      </c>
      <c r="I12" s="7" t="n">
        <v>-1923</v>
      </c>
      <c r="J12" s="7" t="n">
        <v>9175</v>
      </c>
      <c r="K12" s="7" t="n">
        <v>9618</v>
      </c>
      <c r="L12" s="7" t="n">
        <v>1791</v>
      </c>
    </row>
    <row r="13" ht="18.5" customHeight="1" s="105">
      <c r="A13" s="6" t="inlineStr">
        <is>
          <t xml:space="preserve">   Deferred Income Tax Expense (Benefit)</t>
        </is>
      </c>
      <c r="B13" s="22" t="inlineStr">
        <is>
          <t>-</t>
        </is>
      </c>
      <c r="C13" s="22" t="inlineStr">
        <is>
          <t>-</t>
        </is>
      </c>
      <c r="D13" s="22" t="inlineStr">
        <is>
          <t>-</t>
        </is>
      </c>
      <c r="E13" s="22" t="inlineStr">
        <is>
          <t>-</t>
        </is>
      </c>
      <c r="F13" s="7" t="n">
        <v>895</v>
      </c>
      <c r="G13" s="7" t="n">
        <v>-4774</v>
      </c>
      <c r="H13" s="7" t="n">
        <v>-215</v>
      </c>
      <c r="I13" s="7" t="n">
        <v>-340</v>
      </c>
      <c r="J13" s="7" t="n">
        <v>-32590</v>
      </c>
      <c r="K13" s="7" t="n">
        <v>5966</v>
      </c>
      <c r="L13" s="7" t="n">
        <v>4938</v>
      </c>
    </row>
    <row r="14" ht="18.5" customHeight="1" s="105">
      <c r="A14" s="8" t="inlineStr">
        <is>
          <t xml:space="preserve">   Net Cash Provided by (Used in) Operating Activities</t>
        </is>
      </c>
      <c r="B14" s="9" t="n">
        <v>146724</v>
      </c>
      <c r="C14" s="9" t="n">
        <v>111482</v>
      </c>
      <c r="D14" s="9" t="n">
        <v>118254</v>
      </c>
      <c r="E14" s="9" t="n">
        <v>110543</v>
      </c>
      <c r="F14" s="9" t="n">
        <v>122151</v>
      </c>
      <c r="G14" s="9" t="n">
        <v>104038</v>
      </c>
      <c r="H14" s="9" t="n">
        <v>80674</v>
      </c>
      <c r="I14" s="9" t="n">
        <v>69391</v>
      </c>
      <c r="J14" s="9" t="n">
        <v>77434</v>
      </c>
      <c r="K14" s="9" t="n">
        <v>63598</v>
      </c>
      <c r="L14" s="26" t="inlineStr">
        <is>
          <t>-</t>
        </is>
      </c>
    </row>
    <row r="15" ht="18.5" customHeight="1" s="105">
      <c r="A15" s="18" t="inlineStr">
        <is>
          <t>Cash flows from investing activities:</t>
        </is>
      </c>
      <c r="B15" s="19" t="n"/>
      <c r="C15" s="19" t="n"/>
      <c r="D15" s="19" t="n"/>
      <c r="E15" s="19" t="n"/>
      <c r="F15" s="19" t="n"/>
      <c r="G15" s="19" t="n"/>
      <c r="H15" s="19" t="n"/>
      <c r="I15" s="19" t="n"/>
      <c r="J15" s="19" t="n"/>
      <c r="K15" s="19" t="n"/>
      <c r="L15" s="19" t="n"/>
    </row>
    <row r="16" ht="18.5" customHeight="1" s="105">
      <c r="A16" s="6" t="inlineStr">
        <is>
          <t xml:space="preserve">   Payments to Acquire Businesses, Net of Cash Acquired</t>
        </is>
      </c>
      <c r="B16" s="22" t="inlineStr">
        <is>
          <t>-</t>
        </is>
      </c>
      <c r="C16" s="22" t="inlineStr">
        <is>
          <t>-</t>
        </is>
      </c>
      <c r="D16" s="22" t="inlineStr">
        <is>
          <t>-</t>
        </is>
      </c>
      <c r="E16" s="22" t="inlineStr">
        <is>
          <t>-</t>
        </is>
      </c>
      <c r="F16" s="7" t="n">
        <v>306</v>
      </c>
      <c r="G16" s="7" t="n">
        <v>33</v>
      </c>
      <c r="H16" s="7" t="n">
        <v>1524</v>
      </c>
      <c r="I16" s="7" t="n">
        <v>624</v>
      </c>
      <c r="J16" s="7" t="n">
        <v>721</v>
      </c>
      <c r="K16" s="7" t="n">
        <v>329</v>
      </c>
      <c r="L16" s="7" t="n">
        <v>297</v>
      </c>
    </row>
    <row r="17" ht="18.5" customHeight="1" s="105">
      <c r="A17" s="8" t="inlineStr">
        <is>
          <t xml:space="preserve">   Net Cash Provided by (Used in) Investing Activities</t>
        </is>
      </c>
      <c r="B17" s="9" t="n">
        <v>51788</v>
      </c>
      <c r="C17" s="9" t="n">
        <v>15195</v>
      </c>
      <c r="D17" s="9" t="n">
        <v>2935</v>
      </c>
      <c r="E17" s="9" t="n">
        <v>3705</v>
      </c>
      <c r="F17" s="9" t="n">
        <v>-22354</v>
      </c>
      <c r="G17" s="9" t="n">
        <v>-14545</v>
      </c>
      <c r="H17" s="9" t="n">
        <v>-4289</v>
      </c>
      <c r="I17" s="9" t="n">
        <v>45896</v>
      </c>
      <c r="J17" s="9" t="n">
        <v>16066</v>
      </c>
      <c r="K17" s="9" t="n">
        <v>-46446</v>
      </c>
      <c r="L17" s="26" t="inlineStr">
        <is>
          <t>-</t>
        </is>
      </c>
    </row>
    <row r="18" ht="18.5" customHeight="1" s="105">
      <c r="A18" s="6" t="inlineStr">
        <is>
          <t xml:space="preserve">   Payments for (Proceeds from) Other Investing Activities</t>
        </is>
      </c>
      <c r="B18" s="7" t="n">
        <v>2285</v>
      </c>
      <c r="C18" s="7" t="n">
        <v>1480</v>
      </c>
      <c r="D18" s="7" t="n">
        <v>1308</v>
      </c>
      <c r="E18" s="7" t="n">
        <v>1337</v>
      </c>
      <c r="F18" s="7" t="n">
        <v>1780</v>
      </c>
      <c r="G18" s="7" t="n">
        <v>608</v>
      </c>
      <c r="H18" s="7" t="n">
        <v>791</v>
      </c>
      <c r="I18" s="7" t="n">
        <v>1078</v>
      </c>
      <c r="J18" s="7" t="n">
        <v>745</v>
      </c>
      <c r="K18" s="7" t="n">
        <v>-220</v>
      </c>
      <c r="L18" s="7" t="n">
        <v>110</v>
      </c>
    </row>
    <row r="19" ht="18.5" customHeight="1" s="105">
      <c r="A19" s="6" t="inlineStr">
        <is>
          <t xml:space="preserve">   Payments to Acquire Property, Plant, and Equipment</t>
        </is>
      </c>
      <c r="B19" s="7" t="n">
        <v>10041</v>
      </c>
      <c r="C19" s="7" t="n">
        <v>12715</v>
      </c>
      <c r="D19" s="7" t="n">
        <v>9447</v>
      </c>
      <c r="E19" s="7" t="n">
        <v>10959</v>
      </c>
      <c r="F19" s="7" t="n">
        <v>10708</v>
      </c>
      <c r="G19" s="7" t="n">
        <v>11085</v>
      </c>
      <c r="H19" s="7" t="n">
        <v>7309</v>
      </c>
      <c r="I19" s="7" t="n">
        <v>10495</v>
      </c>
      <c r="J19" s="7" t="n">
        <v>13313</v>
      </c>
      <c r="K19" s="7" t="n">
        <v>12451</v>
      </c>
      <c r="L19" s="7" t="n">
        <v>12734</v>
      </c>
    </row>
    <row r="20" ht="18.5" customHeight="1" s="105">
      <c r="A20" s="18" t="inlineStr">
        <is>
          <t>Cash flows from financing activities:</t>
        </is>
      </c>
      <c r="B20" s="19" t="n"/>
      <c r="C20" s="19" t="n"/>
      <c r="D20" s="19" t="n"/>
      <c r="E20" s="19" t="n"/>
      <c r="F20" s="19" t="n"/>
      <c r="G20" s="19" t="n"/>
      <c r="H20" s="19" t="n"/>
      <c r="I20" s="19" t="n"/>
      <c r="J20" s="19" t="n"/>
      <c r="K20" s="19" t="n"/>
      <c r="L20" s="19" t="n"/>
    </row>
    <row r="21" ht="18.5" customHeight="1" s="105">
      <c r="A21" s="6" t="inlineStr">
        <is>
          <t xml:space="preserve">   Payment, Tax Withholding, Share-based Payment Arrangement</t>
        </is>
      </c>
      <c r="B21" s="7" t="n">
        <v>6703</v>
      </c>
      <c r="C21" s="7" t="n">
        <v>5960</v>
      </c>
      <c r="D21" s="7" t="n">
        <v>5441</v>
      </c>
      <c r="E21" s="7" t="n">
        <v>5431</v>
      </c>
      <c r="F21" s="7" t="n">
        <v>6223</v>
      </c>
      <c r="G21" s="7" t="n">
        <v>6556</v>
      </c>
      <c r="H21" s="7" t="n">
        <v>3634</v>
      </c>
      <c r="I21" s="7" t="n">
        <v>2817</v>
      </c>
      <c r="J21" s="7" t="n">
        <v>2527</v>
      </c>
      <c r="K21" s="7" t="n">
        <v>1874</v>
      </c>
      <c r="L21" s="7" t="n">
        <v>1570</v>
      </c>
    </row>
    <row r="22" ht="18.5" customHeight="1" s="105">
      <c r="A22" s="6" t="inlineStr">
        <is>
          <t xml:space="preserve">   Payments for Repurchase of Common Stock</t>
        </is>
      </c>
      <c r="B22" s="7" t="n">
        <v>82226</v>
      </c>
      <c r="C22" s="7" t="n">
        <v>90711</v>
      </c>
      <c r="D22" s="7" t="n">
        <v>94949</v>
      </c>
      <c r="E22" s="7" t="n">
        <v>77550</v>
      </c>
      <c r="F22" s="7" t="n">
        <v>89402</v>
      </c>
      <c r="G22" s="7" t="n">
        <v>85971</v>
      </c>
      <c r="H22" s="7" t="n">
        <v>72358</v>
      </c>
      <c r="I22" s="7" t="n">
        <v>66897</v>
      </c>
      <c r="J22" s="7" t="n">
        <v>72738</v>
      </c>
      <c r="K22" s="7" t="n">
        <v>32900</v>
      </c>
      <c r="L22" s="7" t="n">
        <v>29722</v>
      </c>
    </row>
    <row r="23" ht="18.5" customHeight="1" s="105">
      <c r="A23" s="8" t="inlineStr">
        <is>
          <t xml:space="preserve">   Net Cash Provided by (Used in) Financing Activities</t>
        </is>
      </c>
      <c r="B23" s="9" t="n">
        <v>-122051</v>
      </c>
      <c r="C23" s="9" t="n">
        <v>-120686</v>
      </c>
      <c r="D23" s="9" t="n">
        <v>-121983</v>
      </c>
      <c r="E23" s="9" t="n">
        <v>-108488</v>
      </c>
      <c r="F23" s="9" t="n">
        <v>-110749</v>
      </c>
      <c r="G23" s="9" t="n">
        <v>-93353</v>
      </c>
      <c r="H23" s="9" t="n">
        <v>-86820</v>
      </c>
      <c r="I23" s="9" t="n">
        <v>-90976</v>
      </c>
      <c r="J23" s="9" t="n">
        <v>-87876</v>
      </c>
      <c r="K23" s="9" t="n">
        <v>-17347</v>
      </c>
      <c r="L23" s="26" t="inlineStr">
        <is>
          <t>-</t>
        </is>
      </c>
    </row>
    <row r="24" ht="18.5" customHeight="1" s="105">
      <c r="A24" s="6" t="inlineStr">
        <is>
          <t xml:space="preserve">   Payments of Ordinary Dividends, Common Stock</t>
        </is>
      </c>
      <c r="B24" s="7" t="n">
        <v>15421</v>
      </c>
      <c r="C24" s="7" t="n">
        <v>15421</v>
      </c>
      <c r="D24" s="7" t="n">
        <v>15234</v>
      </c>
      <c r="E24" s="7" t="n">
        <v>15025</v>
      </c>
      <c r="F24" s="7" t="n">
        <v>14841</v>
      </c>
      <c r="G24" s="7" t="n">
        <v>14467</v>
      </c>
      <c r="H24" s="7" t="n">
        <v>14081</v>
      </c>
      <c r="I24" s="7" t="n">
        <v>14119</v>
      </c>
      <c r="J24" s="7" t="n">
        <v>13712</v>
      </c>
      <c r="K24" s="7" t="n">
        <v>12563</v>
      </c>
      <c r="L24" s="7" t="n">
        <v>11965</v>
      </c>
    </row>
    <row r="25" ht="18.5" customHeight="1" s="105">
      <c r="A25" s="6" t="inlineStr">
        <is>
          <t xml:space="preserve">   Proceeds from (Payments for) Other Financing Activities</t>
        </is>
      </c>
      <c r="B25" s="7" t="n">
        <v>-208</v>
      </c>
      <c r="C25" s="7" t="n">
        <v>-111</v>
      </c>
      <c r="D25" s="7" t="n">
        <v>-361</v>
      </c>
      <c r="E25" s="7" t="n">
        <v>-581</v>
      </c>
      <c r="F25" s="7" t="n">
        <v>-160</v>
      </c>
      <c r="G25" s="7" t="n">
        <v>-129</v>
      </c>
      <c r="H25" s="7" t="n">
        <v>-126</v>
      </c>
      <c r="I25" s="7" t="n">
        <v>-105</v>
      </c>
      <c r="J25" s="22" t="inlineStr">
        <is>
          <t>-</t>
        </is>
      </c>
      <c r="K25" s="22" t="inlineStr">
        <is>
          <t>-</t>
        </is>
      </c>
      <c r="L25" s="22" t="inlineStr">
        <is>
          <t>-</t>
        </is>
      </c>
    </row>
    <row r="26" ht="18.5" customHeight="1" s="105">
      <c r="A26" s="6" t="inlineStr">
        <is>
          <t xml:space="preserve">   Repayments of Long-term Debt</t>
        </is>
      </c>
      <c r="B26" s="7" t="n">
        <v>9396</v>
      </c>
      <c r="C26" s="7" t="n">
        <v>10932</v>
      </c>
      <c r="D26" s="7" t="n">
        <v>9958</v>
      </c>
      <c r="E26" s="7" t="n">
        <v>11151</v>
      </c>
      <c r="F26" s="7" t="n">
        <v>9543</v>
      </c>
      <c r="G26" s="7" t="n">
        <v>8750</v>
      </c>
      <c r="H26" s="7" t="n">
        <v>12629</v>
      </c>
      <c r="I26" s="7" t="n">
        <v>8805</v>
      </c>
      <c r="J26" s="7" t="n">
        <v>6500</v>
      </c>
      <c r="K26" s="7" t="n">
        <v>3500</v>
      </c>
      <c r="L26" s="7" t="n">
        <v>2500</v>
      </c>
    </row>
    <row r="27" ht="18.5" customHeight="1" s="105">
      <c r="A27" s="6" t="inlineStr">
        <is>
          <t xml:space="preserve">   Proceeds from Issuance of Common Stock</t>
        </is>
      </c>
      <c r="B27" s="22" t="inlineStr">
        <is>
          <t>-</t>
        </is>
      </c>
      <c r="C27" s="22" t="inlineStr">
        <is>
          <t>-</t>
        </is>
      </c>
      <c r="D27" s="22" t="inlineStr">
        <is>
          <t>-</t>
        </is>
      </c>
      <c r="E27" s="22" t="inlineStr">
        <is>
          <t>-</t>
        </is>
      </c>
      <c r="F27" s="22" t="inlineStr">
        <is>
          <t>-</t>
        </is>
      </c>
      <c r="G27" s="7" t="n">
        <v>1105</v>
      </c>
      <c r="H27" s="7" t="n">
        <v>880</v>
      </c>
      <c r="I27" s="7" t="n">
        <v>781</v>
      </c>
      <c r="J27" s="7" t="n">
        <v>669</v>
      </c>
      <c r="K27" s="7" t="n">
        <v>555</v>
      </c>
      <c r="L27" s="7" t="n">
        <v>495</v>
      </c>
    </row>
    <row r="28" ht="18.5" customHeight="1" s="105">
      <c r="A28" s="8" t="inlineStr">
        <is>
          <t xml:space="preserve">   Cash, Cash Equivalents, Restricted Cash and Restricted Cash Equivalents, Period Increase (Decrease), Including Exchange Rate Effect</t>
        </is>
      </c>
      <c r="B28" s="9" t="n">
        <v>3275</v>
      </c>
      <c r="C28" s="9" t="n">
        <v>5991</v>
      </c>
      <c r="D28" s="9" t="n">
        <v>-794</v>
      </c>
      <c r="E28" s="9" t="n">
        <v>5760</v>
      </c>
      <c r="F28" s="9" t="n">
        <v>-10952</v>
      </c>
      <c r="G28" s="9" t="n">
        <v>-3860</v>
      </c>
      <c r="H28" s="9" t="n">
        <v>-10435</v>
      </c>
      <c r="I28" s="9" t="n">
        <v>24311</v>
      </c>
      <c r="J28" s="26" t="inlineStr">
        <is>
          <t>-</t>
        </is>
      </c>
      <c r="K28" s="26" t="inlineStr">
        <is>
          <t>-</t>
        </is>
      </c>
      <c r="L28" s="26" t="inlineStr">
        <is>
          <t>-</t>
        </is>
      </c>
    </row>
    <row r="29" ht="18.5" customHeight="1" s="105">
      <c r="A29" s="6" t="inlineStr">
        <is>
          <t xml:space="preserve">   Cash, Cash Equivalents, Restricted Cash and Restricted Cash Equivalents</t>
        </is>
      </c>
      <c r="B29" s="7" t="n">
        <v>39209</v>
      </c>
      <c r="C29" s="7" t="n">
        <v>35934</v>
      </c>
      <c r="D29" s="7" t="n">
        <v>29943</v>
      </c>
      <c r="E29" s="7" t="n">
        <v>30737</v>
      </c>
      <c r="F29" s="7" t="n">
        <v>24977</v>
      </c>
      <c r="G29" s="7" t="n">
        <v>35929</v>
      </c>
      <c r="H29" s="7" t="n">
        <v>39789</v>
      </c>
      <c r="I29" s="7" t="n">
        <v>50224</v>
      </c>
      <c r="J29" s="22" t="inlineStr">
        <is>
          <t>-</t>
        </is>
      </c>
      <c r="K29" s="22" t="inlineStr">
        <is>
          <t>-</t>
        </is>
      </c>
      <c r="L29" s="22" t="inlineStr">
        <is>
          <t>-</t>
        </is>
      </c>
    </row>
    <row r="30" ht="18.5" customHeight="1" s="105">
      <c r="A30" s="18" t="inlineStr">
        <is>
          <t>Supplemental disclosure of cash flow information:</t>
        </is>
      </c>
      <c r="B30" s="19" t="n"/>
      <c r="C30" s="19" t="n"/>
      <c r="D30" s="19" t="n"/>
      <c r="E30" s="19" t="n"/>
      <c r="F30" s="19" t="n"/>
      <c r="G30" s="19" t="n"/>
      <c r="H30" s="19" t="n"/>
      <c r="I30" s="19" t="n"/>
      <c r="J30" s="19" t="n"/>
      <c r="K30" s="19" t="n"/>
      <c r="L30" s="19" t="n"/>
    </row>
    <row r="31" ht="18.5" customHeight="1" s="105">
      <c r="A31" s="6" t="inlineStr">
        <is>
          <t xml:space="preserve">   Interest Paid, Excluding Capitalized Interest, Operating Activities</t>
        </is>
      </c>
      <c r="B31" s="22" t="inlineStr">
        <is>
          <t>-</t>
        </is>
      </c>
      <c r="C31" s="22" t="inlineStr">
        <is>
          <t>-</t>
        </is>
      </c>
      <c r="D31" s="22" t="inlineStr">
        <is>
          <t>-</t>
        </is>
      </c>
      <c r="E31" s="7" t="n">
        <v>3803</v>
      </c>
      <c r="F31" s="7" t="n">
        <v>2865</v>
      </c>
      <c r="G31" s="7" t="n">
        <v>2687</v>
      </c>
      <c r="H31" s="7" t="n">
        <v>3002</v>
      </c>
      <c r="I31" s="7" t="n">
        <v>3423</v>
      </c>
      <c r="J31" s="7" t="n">
        <v>3022</v>
      </c>
      <c r="K31" s="22" t="inlineStr">
        <is>
          <t>-</t>
        </is>
      </c>
      <c r="L31" s="22" t="inlineStr">
        <is>
          <t>-</t>
        </is>
      </c>
    </row>
    <row r="32" ht="18.5" customHeight="1" s="105">
      <c r="A32" s="6" t="inlineStr">
        <is>
          <t xml:space="preserve">   Income Taxes Paid, Net</t>
        </is>
      </c>
      <c r="B32" s="7" t="n">
        <v>32592</v>
      </c>
      <c r="C32" s="7" t="n">
        <v>43369</v>
      </c>
      <c r="D32" s="7" t="n">
        <v>26102</v>
      </c>
      <c r="E32" s="7" t="n">
        <v>18679</v>
      </c>
      <c r="F32" s="7" t="n">
        <v>19573</v>
      </c>
      <c r="G32" s="7" t="n">
        <v>25385</v>
      </c>
      <c r="H32" s="7" t="n">
        <v>9501</v>
      </c>
      <c r="I32" s="7" t="n">
        <v>15263</v>
      </c>
      <c r="J32" s="7" t="n">
        <v>10417</v>
      </c>
      <c r="K32" s="7" t="n">
        <v>11591</v>
      </c>
      <c r="L32" s="7" t="n">
        <v>10444</v>
      </c>
    </row>
    <row r="33" ht="18.5" customHeight="1" s="105">
      <c r="A33" s="18" t="inlineStr">
        <is>
          <t>Noncash investing and financing activities:</t>
        </is>
      </c>
      <c r="B33" s="19" t="n"/>
      <c r="C33" s="19" t="n"/>
      <c r="D33" s="19" t="n"/>
      <c r="E33" s="19" t="n"/>
      <c r="F33" s="19" t="n"/>
      <c r="G33" s="19" t="n"/>
      <c r="H33" s="19" t="n"/>
      <c r="I33" s="19" t="n"/>
      <c r="J33" s="19" t="n"/>
      <c r="K33" s="19" t="n"/>
      <c r="L33" s="19" t="n"/>
    </row>
    <row r="34" ht="18.5" customHeight="1" s="105">
      <c r="A34" s="6" t="inlineStr">
        <is>
          <t xml:space="preserve">   Purchases of property and equipment, accrued but unpaid</t>
        </is>
      </c>
      <c r="B34" s="7" t="n">
        <v>12715</v>
      </c>
      <c r="C34" s="7" t="n">
        <v>12715</v>
      </c>
      <c r="D34" s="7" t="n">
        <v>9447</v>
      </c>
      <c r="E34" s="7" t="n">
        <v>10959</v>
      </c>
      <c r="F34" s="7" t="n">
        <v>10708</v>
      </c>
      <c r="G34" s="7" t="n">
        <v>11085</v>
      </c>
      <c r="H34" s="7" t="n">
        <v>7309</v>
      </c>
      <c r="I34" s="7" t="n">
        <v>10495</v>
      </c>
      <c r="J34" s="7" t="n">
        <v>13313</v>
      </c>
      <c r="K34" s="7" t="n">
        <v>12451</v>
      </c>
      <c r="L34" s="7" t="n">
        <v>12734</v>
      </c>
    </row>
    <row r="35" ht="18.5" customHeight="1" s="105">
      <c r="A35" s="6" t="inlineStr">
        <is>
          <t xml:space="preserve">   Additional Financial Items</t>
        </is>
      </c>
      <c r="B35" s="22" t="inlineStr">
        <is>
          <t>-</t>
        </is>
      </c>
      <c r="C35" s="22" t="inlineStr">
        <is>
          <t>-</t>
        </is>
      </c>
      <c r="D35" s="22" t="inlineStr">
        <is>
          <t>-</t>
        </is>
      </c>
      <c r="E35" s="22" t="inlineStr">
        <is>
          <t>-</t>
        </is>
      </c>
      <c r="F35" s="22" t="inlineStr">
        <is>
          <t>-</t>
        </is>
      </c>
      <c r="G35" s="22" t="inlineStr">
        <is>
          <t>-</t>
        </is>
      </c>
      <c r="H35" s="22" t="inlineStr">
        <is>
          <t>-</t>
        </is>
      </c>
      <c r="I35" s="22" t="inlineStr">
        <is>
          <t>-</t>
        </is>
      </c>
      <c r="J35" s="22" t="inlineStr">
        <is>
          <t>-</t>
        </is>
      </c>
      <c r="K35" s="22" t="inlineStr">
        <is>
          <t>-</t>
        </is>
      </c>
      <c r="L35" s="22" t="inlineStr">
        <is>
          <t>-</t>
        </is>
      </c>
    </row>
    <row r="36" ht="18.5" customHeight="1" s="105">
      <c r="A36" s="6" t="inlineStr">
        <is>
          <t xml:space="preserve">   Share-based Payment Arrangement, Expense</t>
        </is>
      </c>
      <c r="B36" s="7" t="n">
        <v>12863</v>
      </c>
      <c r="C36" s="7" t="n">
        <v>12863</v>
      </c>
      <c r="D36" s="7" t="n">
        <v>11688</v>
      </c>
      <c r="E36" s="7" t="n">
        <v>10833</v>
      </c>
      <c r="F36" s="7" t="n">
        <v>9038</v>
      </c>
      <c r="G36" s="7" t="n">
        <v>7906</v>
      </c>
      <c r="H36" s="7" t="n">
        <v>6829</v>
      </c>
      <c r="I36" s="7" t="n">
        <v>6068</v>
      </c>
      <c r="J36" s="7" t="n">
        <v>5340</v>
      </c>
      <c r="K36" s="7" t="n">
        <v>4840</v>
      </c>
      <c r="L36" s="7" t="n">
        <v>4210</v>
      </c>
    </row>
    <row r="37" ht="18.5" customHeight="1" s="105">
      <c r="A37" s="6" t="inlineStr">
        <is>
          <t xml:space="preserve">   Amortization of Intangible Assets</t>
        </is>
      </c>
      <c r="B37" s="22" t="inlineStr">
        <is>
          <t>-</t>
        </is>
      </c>
      <c r="C37" s="22" t="inlineStr">
        <is>
          <t>-</t>
        </is>
      </c>
      <c r="D37" s="22" t="inlineStr">
        <is>
          <t>-</t>
        </is>
      </c>
      <c r="E37" s="22" t="inlineStr">
        <is>
          <t>-</t>
        </is>
      </c>
      <c r="F37" s="22" t="inlineStr">
        <is>
          <t>-</t>
        </is>
      </c>
      <c r="G37" s="22" t="inlineStr">
        <is>
          <t>-</t>
        </is>
      </c>
      <c r="H37" s="22" t="inlineStr">
        <is>
          <t>-</t>
        </is>
      </c>
      <c r="I37" s="22" t="inlineStr">
        <is>
          <t>-</t>
        </is>
      </c>
      <c r="J37" s="22" t="inlineStr">
        <is>
          <t>-</t>
        </is>
      </c>
      <c r="K37" s="7" t="n">
        <v>1200</v>
      </c>
      <c r="L37" s="7" t="n">
        <v>1500</v>
      </c>
    </row>
    <row r="38" ht="18.5" customHeight="1" s="105">
      <c r="A38" s="6" t="inlineStr">
        <is>
          <t xml:space="preserve">   Depreciation</t>
        </is>
      </c>
      <c r="B38" s="7" t="n">
        <v>8000</v>
      </c>
      <c r="C38" s="7" t="n">
        <v>8000</v>
      </c>
      <c r="D38" s="7" t="n">
        <v>8200</v>
      </c>
      <c r="E38" s="7" t="n">
        <v>8500</v>
      </c>
      <c r="F38" s="7" t="n">
        <v>8700</v>
      </c>
      <c r="G38" s="7" t="n">
        <v>9500</v>
      </c>
      <c r="H38" s="7" t="n">
        <v>9700</v>
      </c>
      <c r="I38" s="7" t="n">
        <v>11300</v>
      </c>
      <c r="J38" s="22" t="inlineStr">
        <is>
          <t>-</t>
        </is>
      </c>
      <c r="K38" s="22" t="inlineStr">
        <is>
          <t>-</t>
        </is>
      </c>
      <c r="L38" s="22" t="inlineStr">
        <is>
          <t>-</t>
        </is>
      </c>
    </row>
    <row r="39" ht="18.5" customHeight="1" s="105">
      <c r="A39" s="6" t="inlineStr">
        <is>
          <t xml:space="preserve">   Depreciation, Amortization and Accretion, Net</t>
        </is>
      </c>
      <c r="B39" s="22" t="inlineStr">
        <is>
          <t>-</t>
        </is>
      </c>
      <c r="C39" s="22" t="inlineStr">
        <is>
          <t>-</t>
        </is>
      </c>
      <c r="D39" s="22" t="inlineStr">
        <is>
          <t>-</t>
        </is>
      </c>
      <c r="E39" s="22" t="inlineStr">
        <is>
          <t>-</t>
        </is>
      </c>
      <c r="F39" s="22" t="inlineStr">
        <is>
          <t>-</t>
        </is>
      </c>
      <c r="G39" s="22" t="inlineStr">
        <is>
          <t>-</t>
        </is>
      </c>
      <c r="H39" s="22" t="inlineStr">
        <is>
          <t>-</t>
        </is>
      </c>
      <c r="I39" s="22" t="inlineStr">
        <is>
          <t>-</t>
        </is>
      </c>
      <c r="J39" s="22" t="inlineStr">
        <is>
          <t>-</t>
        </is>
      </c>
      <c r="K39" s="7" t="n">
        <v>10157</v>
      </c>
      <c r="L39" s="7" t="n">
        <v>10505</v>
      </c>
    </row>
    <row r="40" ht="18.5" customHeight="1" s="105">
      <c r="A40" s="6" t="inlineStr">
        <is>
          <t xml:space="preserve">   Payments of Dividends</t>
        </is>
      </c>
      <c r="B40" s="7" t="n">
        <v>15421</v>
      </c>
      <c r="C40" s="7" t="n">
        <v>15421</v>
      </c>
      <c r="D40" s="7" t="n">
        <v>15234</v>
      </c>
      <c r="E40" s="7" t="n">
        <v>15025</v>
      </c>
      <c r="F40" s="7" t="n">
        <v>14841</v>
      </c>
      <c r="G40" s="7" t="n">
        <v>14467</v>
      </c>
      <c r="H40" s="7" t="n">
        <v>14081</v>
      </c>
      <c r="I40" s="7" t="n">
        <v>14119</v>
      </c>
      <c r="J40" s="7" t="n">
        <v>13712</v>
      </c>
      <c r="K40" s="7" t="n">
        <v>12769</v>
      </c>
      <c r="L40" s="7" t="n">
        <v>11965</v>
      </c>
    </row>
    <row r="41" ht="18.5" customHeight="1" s="105">
      <c r="A41" s="6" t="inlineStr">
        <is>
          <t xml:space="preserve">   General and Administrative Expense</t>
        </is>
      </c>
      <c r="B41" s="7" t="n">
        <v>8077</v>
      </c>
      <c r="C41" s="7" t="n">
        <v>8077</v>
      </c>
      <c r="D41" s="22" t="inlineStr">
        <is>
          <t>-</t>
        </is>
      </c>
      <c r="E41" s="22" t="inlineStr">
        <is>
          <t>-</t>
        </is>
      </c>
      <c r="F41" s="22" t="inlineStr">
        <is>
          <t>-</t>
        </is>
      </c>
      <c r="G41" s="22" t="inlineStr">
        <is>
          <t>-</t>
        </is>
      </c>
      <c r="H41" s="22" t="inlineStr">
        <is>
          <t>-</t>
        </is>
      </c>
      <c r="I41" s="22" t="inlineStr">
        <is>
          <t>-</t>
        </is>
      </c>
      <c r="J41" s="22" t="inlineStr">
        <is>
          <t>-</t>
        </is>
      </c>
      <c r="K41" s="22" t="inlineStr">
        <is>
          <t>-</t>
        </is>
      </c>
      <c r="L41" s="22" t="inlineStr">
        <is>
          <t>-</t>
        </is>
      </c>
    </row>
    <row r="42" ht="18.5" customHeight="1" s="105">
      <c r="A42" s="6" t="inlineStr">
        <is>
          <t xml:space="preserve">   Goodwill</t>
        </is>
      </c>
      <c r="B42" s="22" t="inlineStr">
        <is>
          <t>-</t>
        </is>
      </c>
      <c r="C42" s="22" t="inlineStr">
        <is>
          <t>-</t>
        </is>
      </c>
      <c r="D42" s="22" t="inlineStr">
        <is>
          <t>-</t>
        </is>
      </c>
      <c r="E42" s="22" t="inlineStr">
        <is>
          <t>-</t>
        </is>
      </c>
      <c r="F42" s="22" t="inlineStr">
        <is>
          <t>-</t>
        </is>
      </c>
      <c r="G42" s="22" t="inlineStr">
        <is>
          <t>-</t>
        </is>
      </c>
      <c r="H42" s="22" t="inlineStr">
        <is>
          <t>-</t>
        </is>
      </c>
      <c r="I42" s="22" t="inlineStr">
        <is>
          <t>-</t>
        </is>
      </c>
      <c r="J42" s="22" t="inlineStr">
        <is>
          <t>-</t>
        </is>
      </c>
      <c r="K42" s="7" t="n">
        <v>5717</v>
      </c>
      <c r="L42" s="7" t="n">
        <v>5414</v>
      </c>
    </row>
    <row r="43" ht="18.5" customHeight="1" s="105">
      <c r="A43" s="6" t="inlineStr">
        <is>
          <t xml:space="preserve">   Goodwill, Impairment Loss</t>
        </is>
      </c>
      <c r="B43" s="22" t="inlineStr">
        <is>
          <t>-</t>
        </is>
      </c>
      <c r="C43" s="22" t="inlineStr">
        <is>
          <t>-</t>
        </is>
      </c>
      <c r="D43" s="22" t="inlineStr">
        <is>
          <t>-</t>
        </is>
      </c>
      <c r="E43" s="22" t="inlineStr">
        <is>
          <t>-</t>
        </is>
      </c>
      <c r="F43" s="22" t="inlineStr">
        <is>
          <t>-</t>
        </is>
      </c>
      <c r="G43" s="22" t="inlineStr">
        <is>
          <t>-</t>
        </is>
      </c>
      <c r="H43" s="22" t="inlineStr">
        <is>
          <t>-</t>
        </is>
      </c>
      <c r="I43" s="22" t="inlineStr">
        <is>
          <t>-</t>
        </is>
      </c>
      <c r="J43" s="22" t="inlineStr">
        <is>
          <t>-</t>
        </is>
      </c>
      <c r="K43" s="7" t="n">
        <v>0</v>
      </c>
      <c r="L43" s="7" t="n">
        <v>0</v>
      </c>
    </row>
    <row r="44" ht="18.5" customHeight="1" s="105">
      <c r="A44" s="6" t="inlineStr">
        <is>
          <t xml:space="preserve">   Impairment of Intangible Assets, Indefinite-lived (Excluding Goodwill)</t>
        </is>
      </c>
      <c r="B44" s="22" t="inlineStr">
        <is>
          <t>-</t>
        </is>
      </c>
      <c r="C44" s="22" t="inlineStr">
        <is>
          <t>-</t>
        </is>
      </c>
      <c r="D44" s="22" t="inlineStr">
        <is>
          <t>-</t>
        </is>
      </c>
      <c r="E44" s="22" t="inlineStr">
        <is>
          <t>-</t>
        </is>
      </c>
      <c r="F44" s="22" t="inlineStr">
        <is>
          <t>-</t>
        </is>
      </c>
      <c r="G44" s="22" t="inlineStr">
        <is>
          <t>-</t>
        </is>
      </c>
      <c r="H44" s="22" t="inlineStr">
        <is>
          <t>-</t>
        </is>
      </c>
      <c r="I44" s="22" t="inlineStr">
        <is>
          <t>-</t>
        </is>
      </c>
      <c r="J44" s="22" t="inlineStr">
        <is>
          <t>-</t>
        </is>
      </c>
      <c r="K44" s="7" t="n">
        <v>0</v>
      </c>
      <c r="L44" s="7" t="n">
        <v>0</v>
      </c>
    </row>
    <row r="45" ht="18.5" customHeight="1" s="105">
      <c r="A45" s="6" t="inlineStr">
        <is>
          <t xml:space="preserve">   Income Tax Expense (Benefit)</t>
        </is>
      </c>
      <c r="B45" s="7" t="n">
        <v>20719</v>
      </c>
      <c r="C45" s="7" t="n">
        <v>20719</v>
      </c>
      <c r="D45" s="7" t="n">
        <v>29749</v>
      </c>
      <c r="E45" s="7" t="n">
        <v>16741</v>
      </c>
      <c r="F45" s="7" t="n">
        <v>19300</v>
      </c>
      <c r="G45" s="7" t="n">
        <v>14527</v>
      </c>
      <c r="H45" s="7" t="n">
        <v>9680</v>
      </c>
      <c r="I45" s="7" t="n">
        <v>10481</v>
      </c>
      <c r="J45" s="7" t="n">
        <v>13372</v>
      </c>
      <c r="K45" s="7" t="n">
        <v>15738</v>
      </c>
      <c r="L45" s="7" t="n">
        <v>15685</v>
      </c>
    </row>
    <row r="46" ht="18.5" customHeight="1" s="105">
      <c r="A46" s="6" t="inlineStr">
        <is>
          <t xml:space="preserve">   Net Income (Loss) Attributable to Parent</t>
        </is>
      </c>
      <c r="B46" s="7" t="n">
        <v>128930</v>
      </c>
      <c r="C46" s="7" t="n">
        <v>112010</v>
      </c>
      <c r="D46" s="7" t="n">
        <v>93736</v>
      </c>
      <c r="E46" s="7" t="n">
        <v>96995</v>
      </c>
      <c r="F46" s="7" t="n">
        <v>99803</v>
      </c>
      <c r="G46" s="7" t="n">
        <v>94680</v>
      </c>
      <c r="H46" s="7" t="n">
        <v>57411</v>
      </c>
      <c r="I46" s="7" t="n">
        <v>55256</v>
      </c>
      <c r="J46" s="7" t="n">
        <v>59531</v>
      </c>
      <c r="K46" s="7" t="n">
        <v>48351</v>
      </c>
      <c r="L46" s="7" t="n">
        <v>45687</v>
      </c>
    </row>
    <row r="47" ht="18.5" customHeight="1" s="105">
      <c r="A47" s="6" t="inlineStr">
        <is>
          <t xml:space="preserve">   Nonoperating Income (Expense)</t>
        </is>
      </c>
      <c r="B47" s="7" t="n">
        <v>-321</v>
      </c>
      <c r="C47" s="7" t="n">
        <v>-321</v>
      </c>
      <c r="D47" s="7" t="n">
        <v>269</v>
      </c>
      <c r="E47" s="7" t="n">
        <v>-565</v>
      </c>
      <c r="F47" s="7" t="n">
        <v>-334</v>
      </c>
      <c r="G47" s="7" t="n">
        <v>258</v>
      </c>
      <c r="H47" s="7" t="n">
        <v>803</v>
      </c>
      <c r="I47" s="7" t="n">
        <v>1807</v>
      </c>
      <c r="J47" s="7" t="n">
        <v>2005</v>
      </c>
      <c r="K47" s="7" t="n">
        <v>2745</v>
      </c>
      <c r="L47" s="7" t="n">
        <v>1348</v>
      </c>
    </row>
    <row r="48" ht="18.5" customHeight="1" s="105">
      <c r="A48" s="6" t="inlineStr">
        <is>
          <t xml:space="preserve">   Operating Expenses</t>
        </is>
      </c>
      <c r="B48" s="7" t="n">
        <v>62151</v>
      </c>
      <c r="C48" s="7" t="n">
        <v>62151</v>
      </c>
      <c r="D48" s="7" t="n">
        <v>57467</v>
      </c>
      <c r="E48" s="7" t="n">
        <v>54847</v>
      </c>
      <c r="F48" s="7" t="n">
        <v>51345</v>
      </c>
      <c r="G48" s="7" t="n">
        <v>43887</v>
      </c>
      <c r="H48" s="7" t="n">
        <v>38668</v>
      </c>
      <c r="I48" s="7" t="n">
        <v>34462</v>
      </c>
      <c r="J48" s="7" t="n">
        <v>30941</v>
      </c>
      <c r="K48" s="7" t="n">
        <v>26842</v>
      </c>
      <c r="L48" s="7" t="n">
        <v>24239</v>
      </c>
    </row>
    <row r="49" ht="18.5" customHeight="1" s="105">
      <c r="A49" s="6" t="inlineStr">
        <is>
          <t xml:space="preserve">   Other Comprehensive Income (Loss), Reclassification Adjustment from AOCI on Derivatives, Net of Tax</t>
        </is>
      </c>
      <c r="B49" s="22" t="inlineStr">
        <is>
          <t>-</t>
        </is>
      </c>
      <c r="C49" s="22" t="inlineStr">
        <is>
          <t>-</t>
        </is>
      </c>
      <c r="D49" s="22" t="inlineStr">
        <is>
          <t>-</t>
        </is>
      </c>
      <c r="E49" s="22" t="inlineStr">
        <is>
          <t>-</t>
        </is>
      </c>
      <c r="F49" s="22" t="inlineStr">
        <is>
          <t>-</t>
        </is>
      </c>
      <c r="G49" s="22" t="inlineStr">
        <is>
          <t>-</t>
        </is>
      </c>
      <c r="H49" s="22" t="inlineStr">
        <is>
          <t>-</t>
        </is>
      </c>
      <c r="I49" s="7" t="n">
        <v>-23</v>
      </c>
      <c r="J49" s="7" t="n">
        <v>-382</v>
      </c>
      <c r="K49" s="7" t="n">
        <v>1477</v>
      </c>
      <c r="L49" s="7" t="n">
        <v>741</v>
      </c>
    </row>
    <row r="50" ht="18.5" customHeight="1" s="105">
      <c r="A50" s="6" t="inlineStr">
        <is>
          <t xml:space="preserve">   Other Nonoperating Income (Expense)</t>
        </is>
      </c>
      <c r="B50" s="22" t="inlineStr">
        <is>
          <t>-</t>
        </is>
      </c>
      <c r="C50" s="22" t="inlineStr">
        <is>
          <t>-</t>
        </is>
      </c>
      <c r="D50" s="22" t="inlineStr">
        <is>
          <t>-</t>
        </is>
      </c>
      <c r="E50" s="7" t="n">
        <v>-382</v>
      </c>
      <c r="F50" s="7" t="n">
        <v>-228</v>
      </c>
      <c r="G50" s="7" t="n">
        <v>60</v>
      </c>
      <c r="H50" s="7" t="n">
        <v>-87</v>
      </c>
      <c r="I50" s="7" t="n">
        <v>422</v>
      </c>
      <c r="J50" s="7" t="n">
        <v>-441</v>
      </c>
      <c r="K50" s="7" t="n">
        <v>-133</v>
      </c>
      <c r="L50" s="7" t="n">
        <v>-1195</v>
      </c>
    </row>
    <row r="51" ht="18.5" customHeight="1" s="105">
      <c r="A51" s="6" t="inlineStr">
        <is>
          <t xml:space="preserve">   Payments of Dividends</t>
        </is>
      </c>
      <c r="B51" s="7" t="n">
        <v>15640</v>
      </c>
      <c r="C51" s="7" t="n">
        <v>15421</v>
      </c>
      <c r="D51" s="7" t="n">
        <v>15234</v>
      </c>
      <c r="E51" s="7" t="n">
        <v>15025</v>
      </c>
      <c r="F51" s="7" t="n">
        <v>14841</v>
      </c>
      <c r="G51" s="7" t="n">
        <v>14467</v>
      </c>
      <c r="H51" s="7" t="n">
        <v>14081</v>
      </c>
      <c r="I51" s="7" t="n">
        <v>14119</v>
      </c>
      <c r="J51" s="7" t="n">
        <v>13712</v>
      </c>
      <c r="K51" s="7" t="n">
        <v>12769</v>
      </c>
      <c r="L51" s="7" t="n">
        <v>11965</v>
      </c>
    </row>
    <row r="52" ht="18.5" customHeight="1" s="105">
      <c r="A52" s="6" t="inlineStr">
        <is>
          <t xml:space="preserve">   Proceeds from Issuance of Long-term Debt</t>
        </is>
      </c>
      <c r="B52" s="7" t="n">
        <v>0</v>
      </c>
      <c r="C52" s="7" t="n">
        <v>4481</v>
      </c>
      <c r="D52" s="7" t="n">
        <v>0</v>
      </c>
      <c r="E52" s="7" t="n">
        <v>5228</v>
      </c>
      <c r="F52" s="7" t="n">
        <v>5465</v>
      </c>
      <c r="G52" s="7" t="n">
        <v>20393</v>
      </c>
      <c r="H52" s="7" t="n">
        <v>16091</v>
      </c>
      <c r="I52" s="7" t="n">
        <v>6963</v>
      </c>
      <c r="J52" s="7" t="n">
        <v>6969</v>
      </c>
      <c r="K52" s="7" t="n">
        <v>28662</v>
      </c>
      <c r="L52" s="7" t="n">
        <v>24954</v>
      </c>
    </row>
    <row r="53" ht="18.5" customHeight="1" s="105">
      <c r="A53" s="6" t="inlineStr">
        <is>
          <t xml:space="preserve">   Proceeds from Maturities, Prepayments and Calls of Debt Securities, Available-for-sale</t>
        </is>
      </c>
      <c r="B53" s="7" t="n">
        <v>32375</v>
      </c>
      <c r="C53" s="7" t="n">
        <v>40907</v>
      </c>
      <c r="D53" s="7" t="n">
        <v>51211</v>
      </c>
      <c r="E53" s="7" t="n">
        <v>39686</v>
      </c>
      <c r="F53" s="7" t="n">
        <v>29917</v>
      </c>
      <c r="G53" s="7" t="n">
        <v>59023</v>
      </c>
      <c r="H53" s="7" t="n">
        <v>69918</v>
      </c>
      <c r="I53" s="7" t="n">
        <v>40102</v>
      </c>
      <c r="J53" s="7" t="n">
        <v>55881</v>
      </c>
      <c r="K53" s="7" t="n">
        <v>31775</v>
      </c>
      <c r="L53" s="7" t="n">
        <v>21258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8"/>
  <sheetViews>
    <sheetView showGridLines="1" workbookViewId="0">
      <pane xSplit="1" ySplit="4" topLeftCell="B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10" defaultColWidth="9.140625" defaultRowHeight="15"/>
  <cols>
    <col width="42" customWidth="1" style="105" min="1" max="1"/>
    <col width="14.5" customWidth="1" style="105" min="2" max="12"/>
    <col width="14.5" customWidth="1" style="105" min="3" max="3"/>
    <col width="14.5" customWidth="1" style="105" min="4" max="4"/>
    <col width="14.5" customWidth="1" style="105" min="5" max="5"/>
    <col width="14.5" customWidth="1" style="105" min="6" max="6"/>
    <col width="14.5" customWidth="1" style="105" min="7" max="7"/>
    <col width="14.5" customWidth="1" style="105" min="8" max="8"/>
    <col width="14.5" customWidth="1" style="105" min="9" max="9"/>
    <col width="14.5" customWidth="1" style="105" min="10" max="10"/>
    <col width="14.5" customWidth="1" style="105" min="11" max="11"/>
    <col width="14.5" customWidth="1" style="105" min="12" max="12"/>
  </cols>
  <sheetData>
    <row r="1" ht="30" customHeight="1" s="105">
      <c r="A1" s="1" t="inlineStr">
        <is>
          <t>Apple Inc. (AAPL) - Desglose de Ventas</t>
        </is>
      </c>
    </row>
    <row r="2" ht="18" customHeight="1" s="105">
      <c r="A2" s="2" t="inlineStr">
        <is>
          <t>Ingresos por línea de producto y por región geográfica en Millones de USD ($M)</t>
        </is>
      </c>
    </row>
    <row r="3" ht="8" customHeight="1" s="105"/>
    <row r="4" ht="24.95" customHeight="1" s="105">
      <c r="A4" s="3" t="inlineStr">
        <is>
          <t>Segmento / Línea de Negocio</t>
        </is>
      </c>
      <c r="B4" s="4" t="inlineStr">
        <is>
          <t>LTM</t>
        </is>
      </c>
      <c r="C4" s="5" t="inlineStr">
        <is>
          <t>FY2025</t>
        </is>
      </c>
      <c r="D4" s="5" t="inlineStr">
        <is>
          <t>FY2024</t>
        </is>
      </c>
      <c r="E4" s="5" t="inlineStr">
        <is>
          <t>FY2023</t>
        </is>
      </c>
      <c r="F4" s="5" t="inlineStr">
        <is>
          <t>FY2022</t>
        </is>
      </c>
      <c r="G4" s="5" t="inlineStr">
        <is>
          <t>FY2021</t>
        </is>
      </c>
      <c r="H4" s="5" t="inlineStr">
        <is>
          <t>FY2020</t>
        </is>
      </c>
      <c r="I4" s="5" t="inlineStr">
        <is>
          <t>FY2019</t>
        </is>
      </c>
      <c r="J4" s="5" t="inlineStr">
        <is>
          <t>FY2018</t>
        </is>
      </c>
      <c r="K4" s="5" t="inlineStr">
        <is>
          <t>FY2017</t>
        </is>
      </c>
      <c r="L4" s="5" t="inlineStr">
        <is>
          <t>FY2016</t>
        </is>
      </c>
    </row>
    <row r="5" ht="18.5" customHeight="1" s="105">
      <c r="A5" s="18" t="inlineStr">
        <is>
          <t>VENTAS POR LÍNEA DE PRODUCTO / SERVICIO</t>
        </is>
      </c>
      <c r="B5" s="19" t="n"/>
      <c r="C5" s="19" t="n"/>
      <c r="D5" s="19" t="n"/>
      <c r="E5" s="19" t="n"/>
      <c r="F5" s="19" t="n"/>
      <c r="G5" s="19" t="n"/>
      <c r="H5" s="19" t="n"/>
      <c r="I5" s="19" t="n"/>
      <c r="J5" s="19" t="n"/>
      <c r="K5" s="19" t="n"/>
      <c r="L5" s="19" t="n"/>
    </row>
    <row r="6" ht="18.5" customHeight="1" s="105">
      <c r="A6" s="8" t="inlineStr">
        <is>
          <t xml:space="preserve">   Products</t>
        </is>
      </c>
      <c r="B6" s="9" t="n">
        <v>346345</v>
      </c>
      <c r="C6" s="9" t="n">
        <v>307003</v>
      </c>
      <c r="D6" s="9" t="n">
        <v>294866</v>
      </c>
      <c r="E6" s="9" t="n">
        <v>298085</v>
      </c>
      <c r="F6" s="9" t="n">
        <v>316199</v>
      </c>
      <c r="G6" s="9" t="n">
        <v>297392</v>
      </c>
      <c r="H6" s="9" t="n">
        <v>220747</v>
      </c>
      <c r="I6" s="9" t="n">
        <v>213883</v>
      </c>
      <c r="J6" s="9" t="n">
        <v>225847</v>
      </c>
      <c r="K6" s="9" t="n">
        <v>196534</v>
      </c>
      <c r="L6" s="9" t="n">
        <v>191291</v>
      </c>
    </row>
    <row r="7" ht="18.5" customHeight="1" s="105">
      <c r="A7" s="6" t="inlineStr">
        <is>
          <t xml:space="preserve">   iPhone</t>
        </is>
      </c>
      <c r="B7" s="7" t="n">
        <v>245540</v>
      </c>
      <c r="C7" s="7" t="n">
        <v>209586</v>
      </c>
      <c r="D7" s="7" t="n">
        <v>201183</v>
      </c>
      <c r="E7" s="7" t="n">
        <v>200583</v>
      </c>
      <c r="F7" s="7" t="n">
        <v>205489</v>
      </c>
      <c r="G7" s="7" t="n">
        <v>191973</v>
      </c>
      <c r="H7" s="7" t="n">
        <v>137781</v>
      </c>
      <c r="I7" s="7" t="n">
        <v>142381</v>
      </c>
      <c r="J7" s="7" t="n">
        <v>164888</v>
      </c>
      <c r="K7" s="7" t="n">
        <v>139337</v>
      </c>
      <c r="L7" s="7" t="n">
        <v>136700</v>
      </c>
    </row>
    <row r="8" ht="18.5" customHeight="1" s="105">
      <c r="A8" s="6" t="inlineStr">
        <is>
          <t xml:space="preserve">   Mac</t>
        </is>
      </c>
      <c r="B8" s="7" t="n">
        <v>35863</v>
      </c>
      <c r="C8" s="7" t="n">
        <v>33708</v>
      </c>
      <c r="D8" s="7" t="n">
        <v>29984</v>
      </c>
      <c r="E8" s="7" t="n">
        <v>29357</v>
      </c>
      <c r="F8" s="7" t="n">
        <v>40177</v>
      </c>
      <c r="G8" s="7" t="n">
        <v>35190</v>
      </c>
      <c r="H8" s="7" t="n">
        <v>28622</v>
      </c>
      <c r="I8" s="7" t="n">
        <v>25740</v>
      </c>
      <c r="J8" s="7" t="n">
        <v>25198</v>
      </c>
      <c r="K8" s="7" t="n">
        <v>25569</v>
      </c>
      <c r="L8" s="7" t="n">
        <v>22831</v>
      </c>
    </row>
    <row r="9" ht="18.5" customHeight="1" s="105">
      <c r="A9" s="6" t="inlineStr">
        <is>
          <t xml:space="preserve">   iPad</t>
        </is>
      </c>
      <c r="B9" s="7" t="n">
        <v>28652</v>
      </c>
      <c r="C9" s="7" t="n">
        <v>28023</v>
      </c>
      <c r="D9" s="7" t="n">
        <v>26694</v>
      </c>
      <c r="E9" s="7" t="n">
        <v>28300</v>
      </c>
      <c r="F9" s="7" t="n">
        <v>29292</v>
      </c>
      <c r="G9" s="7" t="n">
        <v>31862</v>
      </c>
      <c r="H9" s="7" t="n">
        <v>23724</v>
      </c>
      <c r="I9" s="7" t="n">
        <v>21280</v>
      </c>
      <c r="J9" s="7" t="n">
        <v>18380</v>
      </c>
      <c r="K9" s="7" t="n">
        <v>18802</v>
      </c>
      <c r="L9" s="7" t="n">
        <v>20628</v>
      </c>
    </row>
    <row r="10" ht="18.5" customHeight="1" s="105">
      <c r="A10" s="6" t="inlineStr">
        <is>
          <t xml:space="preserve">   Wearables, Home and Accessories</t>
        </is>
      </c>
      <c r="B10" s="7" t="n">
        <v>36290</v>
      </c>
      <c r="C10" s="7" t="n">
        <v>35686</v>
      </c>
      <c r="D10" s="7" t="n">
        <v>37005</v>
      </c>
      <c r="E10" s="7" t="n">
        <v>39845</v>
      </c>
      <c r="F10" s="7" t="n">
        <v>41241</v>
      </c>
      <c r="G10" s="7" t="n">
        <v>38367</v>
      </c>
      <c r="H10" s="7" t="n">
        <v>30620</v>
      </c>
      <c r="I10" s="7" t="n">
        <v>24482</v>
      </c>
      <c r="J10" s="7" t="n">
        <v>17381</v>
      </c>
      <c r="K10" s="7" t="n">
        <v>12826</v>
      </c>
      <c r="L10" s="7" t="n">
        <v>11132</v>
      </c>
    </row>
    <row r="11" ht="18.5" customHeight="1" s="105">
      <c r="A11" s="8" t="inlineStr">
        <is>
          <t xml:space="preserve">   Services</t>
        </is>
      </c>
      <c r="B11" s="9" t="n">
        <v>120478</v>
      </c>
      <c r="C11" s="9" t="n">
        <v>109158</v>
      </c>
      <c r="D11" s="9" t="n">
        <v>96169</v>
      </c>
      <c r="E11" s="9" t="n">
        <v>85200</v>
      </c>
      <c r="F11" s="9" t="n">
        <v>78129</v>
      </c>
      <c r="G11" s="9" t="n">
        <v>68425</v>
      </c>
      <c r="H11" s="9" t="n">
        <v>53768</v>
      </c>
      <c r="I11" s="9" t="n">
        <v>46291</v>
      </c>
      <c r="J11" s="9" t="n">
        <v>39748</v>
      </c>
      <c r="K11" s="9" t="n">
        <v>32700</v>
      </c>
      <c r="L11" s="9" t="n">
        <v>24348</v>
      </c>
    </row>
    <row r="12" ht="10" customHeight="1" s="105"/>
    <row r="13" ht="18.5" customHeight="1" s="105">
      <c r="A13" s="18" t="inlineStr">
        <is>
          <t>VENTAS POR REGIÓN GEOGRÁFICA</t>
        </is>
      </c>
      <c r="B13" s="19" t="n"/>
      <c r="C13" s="19" t="n"/>
      <c r="D13" s="19" t="n"/>
      <c r="E13" s="19" t="n"/>
      <c r="F13" s="19" t="n"/>
      <c r="G13" s="19" t="n"/>
      <c r="H13" s="19" t="n"/>
      <c r="I13" s="19" t="n"/>
      <c r="J13" s="19" t="n"/>
      <c r="K13" s="19" t="n"/>
      <c r="L13" s="19" t="n"/>
    </row>
    <row r="14" ht="18.5" customHeight="1" s="105">
      <c r="A14" s="6" t="inlineStr">
        <is>
          <t xml:space="preserve">   Americas</t>
        </is>
      </c>
      <c r="B14" s="7" t="n">
        <v>193595</v>
      </c>
      <c r="C14" s="7" t="n">
        <v>178353</v>
      </c>
      <c r="D14" s="7" t="n">
        <v>167045</v>
      </c>
      <c r="E14" s="7" t="n">
        <v>162560</v>
      </c>
      <c r="F14" s="7" t="n">
        <v>169658</v>
      </c>
      <c r="G14" s="7" t="n">
        <v>153306</v>
      </c>
      <c r="H14" s="7" t="n">
        <v>124556</v>
      </c>
      <c r="I14" s="7" t="n">
        <v>116914</v>
      </c>
      <c r="J14" s="7" t="n">
        <v>112093</v>
      </c>
      <c r="K14" s="7" t="n">
        <v>96600</v>
      </c>
      <c r="L14" s="7" t="n">
        <v>86613</v>
      </c>
    </row>
    <row r="15" ht="18.5" customHeight="1" s="105">
      <c r="A15" s="6" t="inlineStr">
        <is>
          <t xml:space="preserve">   Europe</t>
        </is>
      </c>
      <c r="B15" s="7" t="n">
        <v>124299</v>
      </c>
      <c r="C15" s="7" t="n">
        <v>111032</v>
      </c>
      <c r="D15" s="7" t="n">
        <v>101328</v>
      </c>
      <c r="E15" s="7" t="n">
        <v>94294</v>
      </c>
      <c r="F15" s="7" t="n">
        <v>95118</v>
      </c>
      <c r="G15" s="7" t="n">
        <v>89307</v>
      </c>
      <c r="H15" s="7" t="n">
        <v>68640</v>
      </c>
      <c r="I15" s="7" t="n">
        <v>60288</v>
      </c>
      <c r="J15" s="7" t="n">
        <v>62420</v>
      </c>
      <c r="K15" s="7" t="n">
        <v>54938</v>
      </c>
      <c r="L15" s="7" t="n">
        <v>49952</v>
      </c>
    </row>
    <row r="16" ht="18.5" customHeight="1" s="105">
      <c r="A16" s="6" t="inlineStr">
        <is>
          <t xml:space="preserve">   Greater China</t>
        </is>
      </c>
      <c r="B16" s="7" t="n">
        <v>79332</v>
      </c>
      <c r="C16" s="7" t="n">
        <v>64377</v>
      </c>
      <c r="D16" s="7" t="n">
        <v>66952</v>
      </c>
      <c r="E16" s="7" t="n">
        <v>72559</v>
      </c>
      <c r="F16" s="7" t="n">
        <v>74200</v>
      </c>
      <c r="G16" s="7" t="n">
        <v>68366</v>
      </c>
      <c r="H16" s="7" t="n">
        <v>40308</v>
      </c>
      <c r="I16" s="7" t="n">
        <v>43678</v>
      </c>
      <c r="J16" s="7" t="n">
        <v>51942</v>
      </c>
      <c r="K16" s="7" t="n">
        <v>44764</v>
      </c>
      <c r="L16" s="7" t="n">
        <v>48492</v>
      </c>
    </row>
    <row r="17" ht="18.5" customHeight="1" s="105">
      <c r="A17" s="6" t="inlineStr">
        <is>
          <t xml:space="preserve">   Japan</t>
        </is>
      </c>
      <c r="B17" s="7" t="n">
        <v>31004</v>
      </c>
      <c r="C17" s="7" t="n">
        <v>28703</v>
      </c>
      <c r="D17" s="7" t="n">
        <v>25052</v>
      </c>
      <c r="E17" s="7" t="n">
        <v>24257</v>
      </c>
      <c r="F17" s="7" t="n">
        <v>25977</v>
      </c>
      <c r="G17" s="7" t="n">
        <v>28482</v>
      </c>
      <c r="H17" s="7" t="n">
        <v>21418</v>
      </c>
      <c r="I17" s="7" t="n">
        <v>21506</v>
      </c>
      <c r="J17" s="7" t="n">
        <v>21733</v>
      </c>
      <c r="K17" s="7" t="n">
        <v>17733</v>
      </c>
      <c r="L17" s="7" t="n">
        <v>16928</v>
      </c>
    </row>
    <row r="18" ht="18.5" customHeight="1" s="105">
      <c r="A18" s="6" t="inlineStr">
        <is>
          <t xml:space="preserve">   Rest of Asia Pacific</t>
        </is>
      </c>
      <c r="B18" s="7" t="n">
        <v>38593</v>
      </c>
      <c r="C18" s="7" t="n">
        <v>33696</v>
      </c>
      <c r="D18" s="7" t="n">
        <v>30658</v>
      </c>
      <c r="E18" s="7" t="n">
        <v>29615</v>
      </c>
      <c r="F18" s="7" t="n">
        <v>29375</v>
      </c>
      <c r="G18" s="7" t="n">
        <v>26356</v>
      </c>
      <c r="H18" s="7" t="n">
        <v>19593</v>
      </c>
      <c r="I18" s="7" t="n">
        <v>17788</v>
      </c>
      <c r="J18" s="7" t="n">
        <v>17407</v>
      </c>
      <c r="K18" s="7" t="n">
        <v>15199</v>
      </c>
      <c r="L18" s="7" t="n">
        <v>13654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9"/>
  <sheetViews>
    <sheetView showGridLines="1" workbookViewId="0">
      <pane xSplit="3" ySplit="7" topLeftCell="D8" activePane="bottomRight" state="frozen"/>
      <selection pane="topRight"/>
      <selection pane="bottomLeft"/>
      <selection pane="bottomRight"/>
      <selection pane="bottomLeft"/>
      <selection pane="bottomRight" activeCell="A1" sqref="A1"/>
    </sheetView>
  </sheetViews>
  <sheetFormatPr baseColWidth="8" defaultRowHeight="15"/>
  <cols>
    <col width="50" customWidth="1" style="105" min="1" max="1"/>
    <col width="22" customWidth="1" style="105" min="2" max="2"/>
    <col width="22" customWidth="1" style="105" min="3" max="3"/>
    <col width="14.5" customWidth="1" style="105" min="4" max="4"/>
    <col width="14.5" customWidth="1" style="105" min="5" max="5"/>
    <col width="14.5" customWidth="1" style="105" min="6" max="6"/>
    <col width="14.5" customWidth="1" style="105" min="7" max="7"/>
    <col width="14.5" customWidth="1" style="105" min="8" max="8"/>
    <col width="14.5" customWidth="1" style="105" min="9" max="9"/>
    <col width="14.5" customWidth="1" style="105" min="10" max="10"/>
    <col width="14.5" customWidth="1" style="105" min="11" max="11"/>
    <col width="14.5" customWidth="1" style="105" min="12" max="12"/>
    <col width="14.5" customWidth="1" style="105" min="13" max="13"/>
    <col width="14.5" customWidth="1" style="105" min="14" max="14"/>
  </cols>
  <sheetData>
    <row r="1" ht="30" customHeight="1" s="105">
      <c r="A1" s="107" t="inlineStr">
        <is>
          <t>Apple Inc. (AAPL) - Diagnóstico Fundamental: Piotroski F-Score &amp; Mohanram G-Score</t>
        </is>
      </c>
    </row>
    <row r="2" ht="18" customHeight="1" s="105">
      <c r="A2" s="108" t="inlineStr">
        <is>
          <t>Evaluación Cuantitativa de Solvencia Interna (0-9 Pts) y Calidad de Crecimiento Sectorial (0-8 Pts) | Mejoras Institucionales V2</t>
        </is>
      </c>
    </row>
    <row r="3" ht="8" customHeight="1" s="105"/>
    <row r="4" ht="22" customHeight="1" s="105">
      <c r="A4" s="124" t="inlineStr">
        <is>
          <t>DIAGNÓSTICO ESTRATÉGICO ACTUAL</t>
        </is>
      </c>
      <c r="B4" s="128" t="inlineStr">
        <is>
          <t>Período: LTM</t>
        </is>
      </c>
      <c r="C4" s="128" t="inlineStr">
        <is>
          <t>F-Score: 9/9 (SALUD EXCEPCIONAL)</t>
        </is>
      </c>
      <c r="D4" s="128" t="inlineStr">
        <is>
          <t>G-Score: 7/8 (CRECIMIENTO DE ÉLITE)</t>
        </is>
      </c>
      <c r="E4" s="149" t="inlineStr">
        <is>
          <t>Sector: SIC 3571 - Technology Hardware, Storage &amp; Peripherals</t>
        </is>
      </c>
      <c r="F4" s="171" t="n"/>
      <c r="G4" s="171" t="n"/>
      <c r="H4" s="171" t="n"/>
      <c r="I4" s="171" t="n"/>
      <c r="J4" s="171" t="n"/>
      <c r="K4" s="171" t="n"/>
      <c r="L4" s="171" t="n"/>
      <c r="M4" s="171" t="n"/>
      <c r="N4" s="171" t="n"/>
    </row>
    <row r="5" ht="36" customHeight="1" s="105">
      <c r="A5" s="129" t="inlineStr">
        <is>
          <t>CLASIFICACIÓN MATRIZ:</t>
        </is>
      </c>
      <c r="B5" s="130" t="inlineStr">
        <is>
          <t>💎 COMPOUNDER DE ÉLITE</t>
        </is>
      </c>
      <c r="C5" s="172" t="inlineStr">
        <is>
          <t>Compañía excepcional: Combina sólida salud financiera intrínseca, balance robusto, generación líquida de caja y desendeudamiento (F-Score sólido &gt;= 6) con superioridad competitiva, disciplina en I+D y crecimiento por encima de la mediana del sector (G-Score destacado &gt;= 6). Perfil ideal para inversión a largo plazo.</t>
        </is>
      </c>
    </row>
    <row r="6" ht="10" customHeight="1" s="105"/>
    <row r="7" ht="25" customHeight="1" s="105">
      <c r="A7" s="109" t="inlineStr">
        <is>
          <t>Criterio Fundamental (Piotroski 2000)</t>
        </is>
      </c>
      <c r="B7" s="109" t="inlineStr">
        <is>
          <t>Categoría</t>
        </is>
      </c>
      <c r="C7" s="109" t="inlineStr">
        <is>
          <t>Umbral / Regla</t>
        </is>
      </c>
      <c r="D7" s="110" t="inlineStr">
        <is>
          <t>LTM</t>
        </is>
      </c>
      <c r="E7" s="111" t="inlineStr">
        <is>
          <t>FY2025</t>
        </is>
      </c>
      <c r="F7" s="111" t="inlineStr">
        <is>
          <t>FY2024</t>
        </is>
      </c>
      <c r="G7" s="111" t="inlineStr">
        <is>
          <t>FY2023</t>
        </is>
      </c>
      <c r="H7" s="111" t="inlineStr">
        <is>
          <t>FY2022</t>
        </is>
      </c>
      <c r="I7" s="111" t="inlineStr">
        <is>
          <t>FY2021</t>
        </is>
      </c>
      <c r="J7" s="111" t="inlineStr">
        <is>
          <t>FY2020</t>
        </is>
      </c>
      <c r="K7" s="111" t="inlineStr">
        <is>
          <t>FY2019</t>
        </is>
      </c>
      <c r="L7" s="111" t="inlineStr">
        <is>
          <t>FY2018</t>
        </is>
      </c>
      <c r="M7" s="111" t="inlineStr">
        <is>
          <t>FY2017</t>
        </is>
      </c>
      <c r="N7" s="111" t="inlineStr">
        <is>
          <t>FY2016</t>
        </is>
      </c>
    </row>
    <row r="8" ht="18.5" customHeight="1" s="105">
      <c r="A8" s="112" t="inlineStr">
        <is>
          <t xml:space="preserve">   ROA Positivo</t>
        </is>
      </c>
      <c r="B8" s="131" t="inlineStr">
        <is>
          <t>Rentabilidad</t>
        </is>
      </c>
      <c r="C8" s="112" t="inlineStr">
        <is>
          <t>Net Income / Activos t-1 &gt; 0</t>
        </is>
      </c>
      <c r="D8" s="216" t="inlineStr">
        <is>
          <t>35.89% [1]</t>
        </is>
      </c>
      <c r="E8" s="216" t="inlineStr">
        <is>
          <t>30.69% [1]</t>
        </is>
      </c>
      <c r="F8" s="216" t="inlineStr">
        <is>
          <t>26.59% [1]</t>
        </is>
      </c>
      <c r="G8" s="216" t="inlineStr">
        <is>
          <t>27.50% [1]</t>
        </is>
      </c>
      <c r="H8" s="216" t="inlineStr">
        <is>
          <t>28.43% [1]</t>
        </is>
      </c>
      <c r="I8" s="216" t="inlineStr">
        <is>
          <t>29.23% [1]</t>
        </is>
      </c>
      <c r="J8" s="216" t="inlineStr">
        <is>
          <t>16.96% [1]</t>
        </is>
      </c>
      <c r="K8" s="216" t="inlineStr">
        <is>
          <t>15.11% [1]</t>
        </is>
      </c>
      <c r="L8" s="216" t="inlineStr">
        <is>
          <t>15.86% [1]</t>
        </is>
      </c>
      <c r="M8" s="216" t="inlineStr">
        <is>
          <t>15.03% [1]</t>
        </is>
      </c>
      <c r="N8" s="216" t="inlineStr">
        <is>
          <t>14.20% [1]</t>
        </is>
      </c>
    </row>
    <row r="9" ht="18.5" customHeight="1" s="105">
      <c r="A9" s="112" t="inlineStr">
        <is>
          <t xml:space="preserve">   CFO Positivo</t>
        </is>
      </c>
      <c r="B9" s="131" t="inlineStr">
        <is>
          <t>Rentabilidad</t>
        </is>
      </c>
      <c r="C9" s="112" t="inlineStr">
        <is>
          <t>Operating Cash Flow &gt; 0</t>
        </is>
      </c>
      <c r="D9" s="216" t="inlineStr">
        <is>
          <t>$146,724.0M [1]</t>
        </is>
      </c>
      <c r="E9" s="216" t="inlineStr">
        <is>
          <t>$111,482.0M [1]</t>
        </is>
      </c>
      <c r="F9" s="216" t="inlineStr">
        <is>
          <t>$118,254.0M [1]</t>
        </is>
      </c>
      <c r="G9" s="216" t="inlineStr">
        <is>
          <t>$110,543.0M [1]</t>
        </is>
      </c>
      <c r="H9" s="216" t="inlineStr">
        <is>
          <t>$122,151.0M [1]</t>
        </is>
      </c>
      <c r="I9" s="216" t="inlineStr">
        <is>
          <t>$104,038.0M [1]</t>
        </is>
      </c>
      <c r="J9" s="216" t="inlineStr">
        <is>
          <t>$80,674.0M [1]</t>
        </is>
      </c>
      <c r="K9" s="216" t="inlineStr">
        <is>
          <t>$69,391.0M [1]</t>
        </is>
      </c>
      <c r="L9" s="216" t="inlineStr">
        <is>
          <t>$77,434.0M [1]</t>
        </is>
      </c>
      <c r="M9" s="216" t="inlineStr">
        <is>
          <t>$63,598.0M [1]</t>
        </is>
      </c>
      <c r="N9" s="216" t="inlineStr">
        <is>
          <t>$59,713.0M [1]</t>
        </is>
      </c>
    </row>
    <row r="10" ht="18.5" customHeight="1" s="105">
      <c r="A10" s="112" t="inlineStr">
        <is>
          <t xml:space="preserve">   Mejora Interanual de ROA</t>
        </is>
      </c>
      <c r="B10" s="131" t="inlineStr">
        <is>
          <t>Rentabilidad</t>
        </is>
      </c>
      <c r="C10" s="112" t="inlineStr">
        <is>
          <t>Delta ROA &gt; 0%</t>
        </is>
      </c>
      <c r="D10" s="216" t="inlineStr">
        <is>
          <t>+5.20% [1]</t>
        </is>
      </c>
      <c r="E10" s="216" t="inlineStr">
        <is>
          <t>+4.10% [1]</t>
        </is>
      </c>
      <c r="F10" s="217" t="inlineStr">
        <is>
          <t>-0.91% [0]</t>
        </is>
      </c>
      <c r="G10" s="217" t="inlineStr">
        <is>
          <t>-0.94% [0]</t>
        </is>
      </c>
      <c r="H10" s="217" t="inlineStr">
        <is>
          <t>-0.80% [0]</t>
        </is>
      </c>
      <c r="I10" s="216" t="inlineStr">
        <is>
          <t>+12.27% [1]</t>
        </is>
      </c>
      <c r="J10" s="216" t="inlineStr">
        <is>
          <t>+1.85% [1]</t>
        </is>
      </c>
      <c r="K10" s="217" t="inlineStr">
        <is>
          <t>-0.75% [0]</t>
        </is>
      </c>
      <c r="L10" s="216" t="inlineStr">
        <is>
          <t>+0.83% [1]</t>
        </is>
      </c>
      <c r="M10" s="216" t="inlineStr">
        <is>
          <t>+0.83% [1]</t>
        </is>
      </c>
      <c r="N10" s="217" t="inlineStr">
        <is>
          <t>N/A [0]</t>
        </is>
      </c>
    </row>
    <row r="11" ht="18.5" customHeight="1" s="105">
      <c r="A11" s="112" t="inlineStr">
        <is>
          <t xml:space="preserve">   Calidad Contable de Sloan</t>
        </is>
      </c>
      <c r="B11" s="131" t="inlineStr">
        <is>
          <t>Rentabilidad</t>
        </is>
      </c>
      <c r="C11" s="112" t="inlineStr">
        <is>
          <t>CFO &gt; Net Income</t>
        </is>
      </c>
      <c r="D11" s="216" t="inlineStr">
        <is>
          <t>$+17,794.0M [1]</t>
        </is>
      </c>
      <c r="E11" s="217" t="inlineStr">
        <is>
          <t>$-528.0M [0]</t>
        </is>
      </c>
      <c r="F11" s="216" t="inlineStr">
        <is>
          <t>$+24,518.0M [1]</t>
        </is>
      </c>
      <c r="G11" s="216" t="inlineStr">
        <is>
          <t>$+13,548.0M [1]</t>
        </is>
      </c>
      <c r="H11" s="216" t="inlineStr">
        <is>
          <t>$+22,348.0M [1]</t>
        </is>
      </c>
      <c r="I11" s="216" t="inlineStr">
        <is>
          <t>$+9,358.0M [1]</t>
        </is>
      </c>
      <c r="J11" s="216" t="inlineStr">
        <is>
          <t>$+23,263.0M [1]</t>
        </is>
      </c>
      <c r="K11" s="216" t="inlineStr">
        <is>
          <t>$+14,135.0M [1]</t>
        </is>
      </c>
      <c r="L11" s="216" t="inlineStr">
        <is>
          <t>$+17,903.0M [1]</t>
        </is>
      </c>
      <c r="M11" s="216" t="inlineStr">
        <is>
          <t>$+15,247.0M [1]</t>
        </is>
      </c>
      <c r="N11" s="216" t="inlineStr">
        <is>
          <t>$+14,026.0M [1]</t>
        </is>
      </c>
    </row>
    <row r="12" ht="18.5" customHeight="1" s="105">
      <c r="A12" s="112" t="inlineStr">
        <is>
          <t xml:space="preserve">   Desendeudamiento Financiero Total</t>
        </is>
      </c>
      <c r="B12" s="131" t="inlineStr">
        <is>
          <t>Apalancamiento</t>
        </is>
      </c>
      <c r="C12" s="112" t="inlineStr">
        <is>
          <t>Delta Deuda Total &lt;= 0%</t>
        </is>
      </c>
      <c r="D12" s="216" t="inlineStr">
        <is>
          <t>-3.76% [1]</t>
        </is>
      </c>
      <c r="E12" s="216" t="inlineStr">
        <is>
          <t>-1.24% [1]</t>
        </is>
      </c>
      <c r="F12" s="216" t="inlineStr">
        <is>
          <t>-3.33% [1]</t>
        </is>
      </c>
      <c r="G12" s="216" t="inlineStr">
        <is>
          <t>-1.40% [1]</t>
        </is>
      </c>
      <c r="H12" s="216" t="inlineStr">
        <is>
          <t>-2.62% [1]</t>
        </is>
      </c>
      <c r="I12" s="217" t="inlineStr">
        <is>
          <t>+0.65% [0]</t>
        </is>
      </c>
      <c r="J12" s="217" t="inlineStr">
        <is>
          <t>+3.02% [0]</t>
        </is>
      </c>
      <c r="K12" s="217" t="inlineStr">
        <is>
          <t>+2.12% [0]</t>
        </is>
      </c>
      <c r="L12" s="217" t="inlineStr">
        <is>
          <t>+0.40% [0]</t>
        </is>
      </c>
      <c r="M12" s="217" t="inlineStr">
        <is>
          <t>+3.10% [0]</t>
        </is>
      </c>
      <c r="N12" s="217" t="inlineStr">
        <is>
          <t>N/A [0]</t>
        </is>
      </c>
    </row>
    <row r="13" ht="18.5" customHeight="1" s="105">
      <c r="A13" s="112" t="inlineStr">
        <is>
          <t xml:space="preserve">   Mejora de Razón Corriente</t>
        </is>
      </c>
      <c r="B13" s="131" t="inlineStr">
        <is>
          <t>Liquidez</t>
        </is>
      </c>
      <c r="C13" s="112" t="inlineStr">
        <is>
          <t>Delta Current Ratio &gt; 0x</t>
        </is>
      </c>
      <c r="D13" s="216" t="inlineStr">
        <is>
          <t>+0.110x [1]</t>
        </is>
      </c>
      <c r="E13" s="216" t="inlineStr">
        <is>
          <t>+0.026x [1]</t>
        </is>
      </c>
      <c r="F13" s="217" t="inlineStr">
        <is>
          <t>-0.121x [0]</t>
        </is>
      </c>
      <c r="G13" s="216" t="inlineStr">
        <is>
          <t>+0.109x [1]</t>
        </is>
      </c>
      <c r="H13" s="217" t="inlineStr">
        <is>
          <t>-0.195x [0]</t>
        </is>
      </c>
      <c r="I13" s="217" t="inlineStr">
        <is>
          <t>-0.289x [0]</t>
        </is>
      </c>
      <c r="J13" s="217" t="inlineStr">
        <is>
          <t>-0.177x [0]</t>
        </is>
      </c>
      <c r="K13" s="216" t="inlineStr">
        <is>
          <t>+0.416x [1]</t>
        </is>
      </c>
      <c r="L13" s="217" t="inlineStr">
        <is>
          <t>-0.152x [0]</t>
        </is>
      </c>
      <c r="M13" s="217" t="inlineStr">
        <is>
          <t>-0.077x [0]</t>
        </is>
      </c>
      <c r="N13" s="217" t="inlineStr">
        <is>
          <t>N/A [0]</t>
        </is>
      </c>
    </row>
    <row r="14" ht="18.5" customHeight="1" s="105">
      <c r="A14" s="112" t="inlineStr">
        <is>
          <t xml:space="preserve">   Cero Dilución (Acciones Básicas)</t>
        </is>
      </c>
      <c r="B14" s="131" t="inlineStr">
        <is>
          <t>Capital</t>
        </is>
      </c>
      <c r="C14" s="112" t="inlineStr">
        <is>
          <t>Delta Acciones Básicas &lt;= 0</t>
        </is>
      </c>
      <c r="D14" s="216" t="inlineStr">
        <is>
          <t>-256.0M acciones [1]</t>
        </is>
      </c>
      <c r="E14" s="216" t="inlineStr">
        <is>
          <t>-395.3M acciones [1]</t>
        </is>
      </c>
      <c r="F14" s="216" t="inlineStr">
        <is>
          <t>-400.4M acciones [1]</t>
        </is>
      </c>
      <c r="G14" s="216" t="inlineStr">
        <is>
          <t>-471.7M acciones [1]</t>
        </is>
      </c>
      <c r="H14" s="216" t="inlineStr">
        <is>
          <t>-485.3M acciones [1]</t>
        </is>
      </c>
      <c r="I14" s="216" t="inlineStr">
        <is>
          <t>-650.8M acciones [1]</t>
        </is>
      </c>
      <c r="J14" s="217" t="inlineStr">
        <is>
          <t>+12,734.3M acciones [0]</t>
        </is>
      </c>
      <c r="K14" s="216" t="inlineStr">
        <is>
          <t>-337.5M acciones [1]</t>
        </is>
      </c>
      <c r="L14" s="216" t="inlineStr">
        <is>
          <t>-261.9M acciones [1]</t>
        </is>
      </c>
      <c r="M14" s="216" t="inlineStr">
        <is>
          <t>-253.6M acciones [1]</t>
        </is>
      </c>
      <c r="N14" s="217" t="inlineStr">
        <is>
          <t>N/A [0]</t>
        </is>
      </c>
    </row>
    <row r="15" ht="18.5" customHeight="1" s="105">
      <c r="A15" s="112" t="inlineStr">
        <is>
          <t xml:space="preserve">   Expansión de Margen Bruto</t>
        </is>
      </c>
      <c r="B15" s="131" t="inlineStr">
        <is>
          <t>Eficiencia</t>
        </is>
      </c>
      <c r="C15" s="112" t="inlineStr">
        <is>
          <t>Delta Margen Bruto &gt; 0%</t>
        </is>
      </c>
      <c r="D15" s="216" t="inlineStr">
        <is>
          <t>+1.75% [1]</t>
        </is>
      </c>
      <c r="E15" s="216" t="inlineStr">
        <is>
          <t>+0.70% [1]</t>
        </is>
      </c>
      <c r="F15" s="216" t="inlineStr">
        <is>
          <t>+2.08% [1]</t>
        </is>
      </c>
      <c r="G15" s="216" t="inlineStr">
        <is>
          <t>+0.82% [1]</t>
        </is>
      </c>
      <c r="H15" s="216" t="inlineStr">
        <is>
          <t>+1.53% [1]</t>
        </is>
      </c>
      <c r="I15" s="216" t="inlineStr">
        <is>
          <t>+3.55% [1]</t>
        </is>
      </c>
      <c r="J15" s="216" t="inlineStr">
        <is>
          <t>+0.42% [1]</t>
        </is>
      </c>
      <c r="K15" s="217" t="inlineStr">
        <is>
          <t>-0.53% [0]</t>
        </is>
      </c>
      <c r="L15" s="217" t="inlineStr">
        <is>
          <t>-0.13% [0]</t>
        </is>
      </c>
      <c r="M15" s="217" t="inlineStr">
        <is>
          <t>-0.61% [0]</t>
        </is>
      </c>
      <c r="N15" s="217" t="inlineStr">
        <is>
          <t>N/A [0]</t>
        </is>
      </c>
    </row>
    <row r="16" ht="18.5" customHeight="1" s="105">
      <c r="A16" s="112" t="inlineStr">
        <is>
          <t xml:space="preserve">   Expansión Rotación Activos</t>
        </is>
      </c>
      <c r="B16" s="131" t="inlineStr">
        <is>
          <t>Eficiencia</t>
        </is>
      </c>
      <c r="C16" s="112" t="inlineStr">
        <is>
          <t>Delta Rotación Activos &gt; 0x</t>
        </is>
      </c>
      <c r="D16" s="216" t="inlineStr">
        <is>
          <t>+0.159x [1]</t>
        </is>
      </c>
      <c r="E16" s="216" t="inlineStr">
        <is>
          <t>+0.031x [1]</t>
        </is>
      </c>
      <c r="F16" s="216" t="inlineStr">
        <is>
          <t>+0.023x [1]</t>
        </is>
      </c>
      <c r="G16" s="217" t="inlineStr">
        <is>
          <t>-0.037x [0]</t>
        </is>
      </c>
      <c r="H16" s="217" t="inlineStr">
        <is>
          <t>-0.006x [0]</t>
        </is>
      </c>
      <c r="I16" s="216" t="inlineStr">
        <is>
          <t>+0.319x [1]</t>
        </is>
      </c>
      <c r="J16" s="216" t="inlineStr">
        <is>
          <t>+0.100x [1]</t>
        </is>
      </c>
      <c r="K16" s="216" t="inlineStr">
        <is>
          <t>+0.004x [1]</t>
        </is>
      </c>
      <c r="L16" s="217" t="inlineStr">
        <is>
          <t>-0.005x [0]</t>
        </is>
      </c>
      <c r="M16" s="216" t="inlineStr">
        <is>
          <t>+0.042x [1]</t>
        </is>
      </c>
      <c r="N16" s="217" t="inlineStr">
        <is>
          <t>N/A [0]</t>
        </is>
      </c>
    </row>
    <row r="17" ht="18.5" customHeight="1" s="105">
      <c r="A17" s="118" t="inlineStr">
        <is>
          <t>TOTAL PIOTROSKI F-SCORE (0 a 9 Pts)</t>
        </is>
      </c>
      <c r="B17" s="118" t="inlineStr">
        <is>
          <t>PUNTUACIÓN</t>
        </is>
      </c>
      <c r="C17" s="118" t="inlineStr">
        <is>
          <t>Escala 0-9 (&gt;=7 Fuerte)</t>
        </is>
      </c>
      <c r="D17" s="134" t="inlineStr">
        <is>
          <t>9 / 9 Pts</t>
        </is>
      </c>
      <c r="E17" s="134" t="inlineStr">
        <is>
          <t>8 / 9 Pts</t>
        </is>
      </c>
      <c r="F17" s="134" t="inlineStr">
        <is>
          <t>7 / 9 Pts</t>
        </is>
      </c>
      <c r="G17" s="134" t="inlineStr">
        <is>
          <t>7 / 9 Pts</t>
        </is>
      </c>
      <c r="H17" s="135" t="inlineStr">
        <is>
          <t>6 / 9 Pts</t>
        </is>
      </c>
      <c r="I17" s="134" t="inlineStr">
        <is>
          <t>7 / 9 Pts</t>
        </is>
      </c>
      <c r="J17" s="135" t="inlineStr">
        <is>
          <t>6 / 9 Pts</t>
        </is>
      </c>
      <c r="K17" s="135" t="inlineStr">
        <is>
          <t>6 / 9 Pts</t>
        </is>
      </c>
      <c r="L17" s="135" t="inlineStr">
        <is>
          <t>5 / 9 Pts</t>
        </is>
      </c>
      <c r="M17" s="135" t="inlineStr">
        <is>
          <t>6 / 9 Pts</t>
        </is>
      </c>
      <c r="N17" s="136" t="inlineStr">
        <is>
          <t>3 / 9 Pts</t>
        </is>
      </c>
    </row>
    <row r="18" ht="18.5" customHeight="1" s="105">
      <c r="A18" s="131" t="inlineStr">
        <is>
          <t>Dictamen de Salud Financiera</t>
        </is>
      </c>
      <c r="B18" s="131" t="inlineStr">
        <is>
          <t>-</t>
        </is>
      </c>
      <c r="C18" s="131" t="inlineStr">
        <is>
          <t>Clasificación</t>
        </is>
      </c>
      <c r="D18" s="137" t="inlineStr">
        <is>
          <t>SALUD EXCEPCIONAL</t>
        </is>
      </c>
      <c r="E18" s="137" t="inlineStr">
        <is>
          <t>SALUD EXCEPCIONAL</t>
        </is>
      </c>
      <c r="F18" s="137" t="inlineStr">
        <is>
          <t>SALUD SÓLIDA</t>
        </is>
      </c>
      <c r="G18" s="137" t="inlineStr">
        <is>
          <t>SALUD SÓLIDA</t>
        </is>
      </c>
      <c r="H18" s="137" t="inlineStr">
        <is>
          <t>SALUD SÓLIDA</t>
        </is>
      </c>
      <c r="I18" s="137" t="inlineStr">
        <is>
          <t>SALUD SÓLIDA</t>
        </is>
      </c>
      <c r="J18" s="137" t="inlineStr">
        <is>
          <t>SALUD SÓLIDA</t>
        </is>
      </c>
      <c r="K18" s="137" t="inlineStr">
        <is>
          <t>SALUD SÓLIDA</t>
        </is>
      </c>
      <c r="L18" s="137" t="inlineStr">
        <is>
          <t>SALUD MODERADA</t>
        </is>
      </c>
      <c r="M18" s="137" t="inlineStr">
        <is>
          <t>SALUD SÓLIDA</t>
        </is>
      </c>
      <c r="N18" s="137" t="inlineStr">
        <is>
          <t>VULNERABILIDAD FINANCIERA</t>
        </is>
      </c>
    </row>
    <row r="19" ht="10" customHeight="1" s="105"/>
    <row r="20" ht="10" customHeight="1" s="105"/>
    <row r="21" ht="25" customHeight="1" s="105">
      <c r="A21" s="109" t="inlineStr">
        <is>
          <t>Criterio de Crecimiento (Mohanram 2005)</t>
        </is>
      </c>
      <c r="B21" s="109" t="inlineStr">
        <is>
          <t>Categoría</t>
        </is>
      </c>
      <c r="C21" s="109" t="inlineStr">
        <is>
          <t>Benchmark Sectorial</t>
        </is>
      </c>
      <c r="D21" s="110" t="inlineStr">
        <is>
          <t>LTM</t>
        </is>
      </c>
      <c r="E21" s="111" t="inlineStr">
        <is>
          <t>FY2025</t>
        </is>
      </c>
      <c r="F21" s="111" t="inlineStr">
        <is>
          <t>FY2024</t>
        </is>
      </c>
      <c r="G21" s="111" t="inlineStr">
        <is>
          <t>FY2023</t>
        </is>
      </c>
      <c r="H21" s="111" t="inlineStr">
        <is>
          <t>FY2022</t>
        </is>
      </c>
      <c r="I21" s="111" t="inlineStr">
        <is>
          <t>FY2021</t>
        </is>
      </c>
      <c r="J21" s="111" t="inlineStr">
        <is>
          <t>FY2020</t>
        </is>
      </c>
      <c r="K21" s="111" t="inlineStr">
        <is>
          <t>FY2019</t>
        </is>
      </c>
      <c r="L21" s="111" t="inlineStr">
        <is>
          <t>FY2018</t>
        </is>
      </c>
      <c r="M21" s="111" t="inlineStr">
        <is>
          <t>FY2017</t>
        </is>
      </c>
      <c r="N21" s="111" t="inlineStr">
        <is>
          <t>FY2016</t>
        </is>
      </c>
    </row>
    <row r="22" ht="18.5" customHeight="1" s="105">
      <c r="A22" s="112" t="inlineStr">
        <is>
          <t xml:space="preserve">   ROA &gt; Mediana del Sector</t>
        </is>
      </c>
      <c r="B22" s="131" t="inlineStr">
        <is>
          <t>Rentabilidad</t>
        </is>
      </c>
      <c r="C22" s="112" t="inlineStr">
        <is>
          <t>&gt; Mediana Sector (10.94%)</t>
        </is>
      </c>
      <c r="D22" s="216" t="inlineStr">
        <is>
          <t>35.89% [1]</t>
        </is>
      </c>
      <c r="E22" s="216" t="inlineStr">
        <is>
          <t>30.69% [1]</t>
        </is>
      </c>
      <c r="F22" s="216" t="inlineStr">
        <is>
          <t>26.59% [1]</t>
        </is>
      </c>
      <c r="G22" s="216" t="inlineStr">
        <is>
          <t>27.50% [1]</t>
        </is>
      </c>
      <c r="H22" s="216" t="inlineStr">
        <is>
          <t>28.43% [1]</t>
        </is>
      </c>
      <c r="I22" s="216" t="inlineStr">
        <is>
          <t>29.23% [1]</t>
        </is>
      </c>
      <c r="J22" s="216" t="inlineStr">
        <is>
          <t>16.96% [1]</t>
        </is>
      </c>
      <c r="K22" s="216" t="inlineStr">
        <is>
          <t>15.11% [1]</t>
        </is>
      </c>
      <c r="L22" s="216" t="inlineStr">
        <is>
          <t>15.86% [1]</t>
        </is>
      </c>
      <c r="M22" s="216" t="inlineStr">
        <is>
          <t>15.03% [1]</t>
        </is>
      </c>
      <c r="N22" s="216" t="inlineStr">
        <is>
          <t>14.20% [1]</t>
        </is>
      </c>
    </row>
    <row r="23" ht="18.5" customHeight="1" s="105">
      <c r="A23" s="112" t="inlineStr">
        <is>
          <t xml:space="preserve">   CFROA &gt; Mediana del Sector</t>
        </is>
      </c>
      <c r="B23" s="131" t="inlineStr">
        <is>
          <t>Flujo de Caja</t>
        </is>
      </c>
      <c r="C23" s="112" t="inlineStr">
        <is>
          <t>&gt; Mediana Sector (13.77%)</t>
        </is>
      </c>
      <c r="D23" s="216" t="inlineStr">
        <is>
          <t>40.84% [1]</t>
        </is>
      </c>
      <c r="E23" s="216" t="inlineStr">
        <is>
          <t>30.54% [1]</t>
        </is>
      </c>
      <c r="F23" s="216" t="inlineStr">
        <is>
          <t>33.54% [1]</t>
        </is>
      </c>
      <c r="G23" s="216" t="inlineStr">
        <is>
          <t>31.34% [1]</t>
        </is>
      </c>
      <c r="H23" s="216" t="inlineStr">
        <is>
          <t>34.80% [1]</t>
        </is>
      </c>
      <c r="I23" s="216" t="inlineStr">
        <is>
          <t>32.12% [1]</t>
        </is>
      </c>
      <c r="J23" s="216" t="inlineStr">
        <is>
          <t>23.83% [1]</t>
        </is>
      </c>
      <c r="K23" s="216" t="inlineStr">
        <is>
          <t>18.97% [1]</t>
        </is>
      </c>
      <c r="L23" s="216" t="inlineStr">
        <is>
          <t>20.63% [1]</t>
        </is>
      </c>
      <c r="M23" s="216" t="inlineStr">
        <is>
          <t>19.77% [1]</t>
        </is>
      </c>
      <c r="N23" s="216" t="inlineStr">
        <is>
          <t>18.56% [1]</t>
        </is>
      </c>
    </row>
    <row r="24" ht="18.5" customHeight="1" s="105">
      <c r="A24" s="112" t="inlineStr">
        <is>
          <t xml:space="preserve">   Calidad Contable (CFO &gt; NI)</t>
        </is>
      </c>
      <c r="B24" s="131" t="inlineStr">
        <is>
          <t>Devengos</t>
        </is>
      </c>
      <c r="C24" s="112" t="inlineStr">
        <is>
          <t>CFO &gt; Utilidad Neta</t>
        </is>
      </c>
      <c r="D24" s="216" t="inlineStr">
        <is>
          <t>$+17,794.0M [1]</t>
        </is>
      </c>
      <c r="E24" s="217" t="inlineStr">
        <is>
          <t>$-528.0M [0]</t>
        </is>
      </c>
      <c r="F24" s="216" t="inlineStr">
        <is>
          <t>$+24,518.0M [1]</t>
        </is>
      </c>
      <c r="G24" s="216" t="inlineStr">
        <is>
          <t>$+13,548.0M [1]</t>
        </is>
      </c>
      <c r="H24" s="216" t="inlineStr">
        <is>
          <t>$+22,348.0M [1]</t>
        </is>
      </c>
      <c r="I24" s="216" t="inlineStr">
        <is>
          <t>$+9,358.0M [1]</t>
        </is>
      </c>
      <c r="J24" s="216" t="inlineStr">
        <is>
          <t>$+23,263.0M [1]</t>
        </is>
      </c>
      <c r="K24" s="216" t="inlineStr">
        <is>
          <t>$+14,135.0M [1]</t>
        </is>
      </c>
      <c r="L24" s="216" t="inlineStr">
        <is>
          <t>$+17,903.0M [1]</t>
        </is>
      </c>
      <c r="M24" s="216" t="inlineStr">
        <is>
          <t>$+15,247.0M [1]</t>
        </is>
      </c>
      <c r="N24" s="216" t="inlineStr">
        <is>
          <t>$+14,026.0M [1]</t>
        </is>
      </c>
    </row>
    <row r="25" ht="18.5" customHeight="1" s="105">
      <c r="A25" s="112" t="inlineStr">
        <is>
          <t xml:space="preserve">   Estabilidad / Nivel Superior de ROA</t>
        </is>
      </c>
      <c r="B25" s="131" t="inlineStr">
        <is>
          <t>Predictibilidad</t>
        </is>
      </c>
      <c r="C25" s="112" t="inlineStr">
        <is>
          <t>CV &lt; 0.35 o ROA &gt;= P75 (32.36%)</t>
        </is>
      </c>
      <c r="D25" s="216" t="inlineStr">
        <is>
          <t>CV=0.07 [1]</t>
        </is>
      </c>
      <c r="E25" s="216" t="inlineStr">
        <is>
          <t>CV=0.07 [1]</t>
        </is>
      </c>
      <c r="F25" s="216" t="inlineStr">
        <is>
          <t>CV=0.17 [1]</t>
        </is>
      </c>
      <c r="G25" s="216" t="inlineStr">
        <is>
          <t>CV=0.25 [1]</t>
        </is>
      </c>
      <c r="H25" s="216" t="inlineStr">
        <is>
          <t>CV=0.28 [1]</t>
        </is>
      </c>
      <c r="I25" s="216" t="inlineStr">
        <is>
          <t>CV=0.29 [1]</t>
        </is>
      </c>
      <c r="J25" s="216" t="inlineStr">
        <is>
          <t>CV=0.12 [1]</t>
        </is>
      </c>
      <c r="K25" s="216" t="inlineStr">
        <is>
          <t>CV=0.11 [1]</t>
        </is>
      </c>
      <c r="L25" s="216" t="inlineStr">
        <is>
          <t>CV=0.12 [1]</t>
        </is>
      </c>
      <c r="M25" s="216" t="inlineStr">
        <is>
          <t>CV=0.07 [1]</t>
        </is>
      </c>
      <c r="N25" s="217" t="inlineStr">
        <is>
          <t>N/A [0]</t>
        </is>
      </c>
    </row>
    <row r="26" ht="18.5" customHeight="1" s="105">
      <c r="A26" s="112" t="inlineStr">
        <is>
          <t xml:space="preserve">   Estabilidad / Hipercrecimiento</t>
        </is>
      </c>
      <c r="B26" s="131" t="inlineStr">
        <is>
          <t>Predictibilidad</t>
        </is>
      </c>
      <c r="C26" s="112" t="inlineStr">
        <is>
          <t>CV &lt; 0.40 o g &gt;= 20%</t>
        </is>
      </c>
      <c r="D26" s="217" t="inlineStr">
        <is>
          <t>CV=1.43 [0]</t>
        </is>
      </c>
      <c r="E26" s="217" t="inlineStr">
        <is>
          <t>CV=1.43 [0]</t>
        </is>
      </c>
      <c r="F26" s="217" t="inlineStr">
        <is>
          <t>CV=1.59 [0]</t>
        </is>
      </c>
      <c r="G26" s="217" t="inlineStr">
        <is>
          <t>CV=1.42 [0]</t>
        </is>
      </c>
      <c r="H26" s="217" t="inlineStr">
        <is>
          <t>CV=1.38 [0]</t>
        </is>
      </c>
      <c r="I26" s="217" t="inlineStr">
        <is>
          <t>CV=1.16 [0]</t>
        </is>
      </c>
      <c r="J26" s="217" t="inlineStr">
        <is>
          <t>CV=1.15 [0]</t>
        </is>
      </c>
      <c r="K26" s="217" t="inlineStr">
        <is>
          <t>CV=1.34 [0]</t>
        </is>
      </c>
      <c r="L26" s="217" t="inlineStr">
        <is>
          <t>CV=0.61 [0]</t>
        </is>
      </c>
      <c r="M26" s="217" t="inlineStr">
        <is>
          <t>N/A [0]</t>
        </is>
      </c>
      <c r="N26" s="217" t="inlineStr">
        <is>
          <t>N/A [0]</t>
        </is>
      </c>
    </row>
    <row r="27" ht="18.5" customHeight="1" s="105">
      <c r="A27" s="112" t="inlineStr">
        <is>
          <t xml:space="preserve">   Intensidad en I+D vs Sector</t>
        </is>
      </c>
      <c r="B27" s="131" t="inlineStr">
        <is>
          <t>Intangibles</t>
        </is>
      </c>
      <c r="C27" s="112" t="inlineStr">
        <is>
          <t>R&amp;D / Activos &gt; 6.00%</t>
        </is>
      </c>
      <c r="D27" s="216" t="inlineStr">
        <is>
          <t>11.94% [1]</t>
        </is>
      </c>
      <c r="E27" s="216" t="inlineStr">
        <is>
          <t>9.47% [1]</t>
        </is>
      </c>
      <c r="F27" s="216" t="inlineStr">
        <is>
          <t>8.90% [1]</t>
        </is>
      </c>
      <c r="G27" s="216" t="inlineStr">
        <is>
          <t>8.48% [1]</t>
        </is>
      </c>
      <c r="H27" s="216" t="inlineStr">
        <is>
          <t>7.48% [1]</t>
        </is>
      </c>
      <c r="I27" s="216" t="inlineStr">
        <is>
          <t>6.77% [1]</t>
        </is>
      </c>
      <c r="J27" s="217" t="inlineStr">
        <is>
          <t>5.54% [0]</t>
        </is>
      </c>
      <c r="K27" s="217" t="inlineStr">
        <is>
          <t>4.43% [0]</t>
        </is>
      </c>
      <c r="L27" s="217" t="inlineStr">
        <is>
          <t>3.79% [0]</t>
        </is>
      </c>
      <c r="M27" s="217" t="inlineStr">
        <is>
          <t>3.60% [0]</t>
        </is>
      </c>
      <c r="N27" s="217" t="inlineStr">
        <is>
          <t>3.12% [0]</t>
        </is>
      </c>
    </row>
    <row r="28" ht="18.5" customHeight="1" s="105">
      <c r="A28" s="112" t="inlineStr">
        <is>
          <t xml:space="preserve">   Inversión de Capital / Asset-Light</t>
        </is>
      </c>
      <c r="B28" s="131" t="inlineStr">
        <is>
          <t>Inversión</t>
        </is>
      </c>
      <c r="C28" s="112" t="inlineStr">
        <is>
          <t>Reinversión &gt; 9.43%</t>
        </is>
      </c>
      <c r="D28" s="216" t="inlineStr">
        <is>
          <t>14.74% (Total) [1]</t>
        </is>
      </c>
      <c r="E28" s="216" t="inlineStr">
        <is>
          <t>12.95% (Total) [1]</t>
        </is>
      </c>
      <c r="F28" s="216" t="inlineStr">
        <is>
          <t>11.58% (Total) [1]</t>
        </is>
      </c>
      <c r="G28" s="216" t="inlineStr">
        <is>
          <t>11.59% (Total) [1]</t>
        </is>
      </c>
      <c r="H28" s="216" t="inlineStr">
        <is>
          <t>10.53% (Total) [1]</t>
        </is>
      </c>
      <c r="I28" s="216" t="inlineStr">
        <is>
          <t>10.19% (Total) [1]</t>
        </is>
      </c>
      <c r="J28" s="217" t="inlineStr">
        <is>
          <t>7.70% (Total) [0]</t>
        </is>
      </c>
      <c r="K28" s="217" t="inlineStr">
        <is>
          <t>7.30% (Total) [0]</t>
        </is>
      </c>
      <c r="L28" s="217" t="inlineStr">
        <is>
          <t>7.34% (Total) [0]</t>
        </is>
      </c>
      <c r="M28" s="217" t="inlineStr">
        <is>
          <t>7.47% (Total) [0]</t>
        </is>
      </c>
      <c r="N28" s="217" t="inlineStr">
        <is>
          <t>7.08% (Total) [0]</t>
        </is>
      </c>
    </row>
    <row r="29" ht="18.5" customHeight="1" s="105">
      <c r="A29" s="112" t="inlineStr">
        <is>
          <t xml:space="preserve">   Apalancamiento Comercial (SG&amp;A)</t>
        </is>
      </c>
      <c r="B29" s="131" t="inlineStr">
        <is>
          <t>Eficiencia</t>
        </is>
      </c>
      <c r="C29" s="112" t="inlineStr">
        <is>
          <t>% Delta Ventas &gt; % Delta SG&amp;A</t>
        </is>
      </c>
      <c r="D29" s="216" t="inlineStr">
        <is>
          <t>Ventas: +12.2% vs SG&amp;A: +6.4% [1]</t>
        </is>
      </c>
      <c r="E29" s="216" t="inlineStr">
        <is>
          <t>Ventas: +6.4% vs SG&amp;A: +5.8% [1]</t>
        </is>
      </c>
      <c r="F29" s="217" t="inlineStr">
        <is>
          <t>Ventas: +2.0% vs SG&amp;A: +4.7% [0]</t>
        </is>
      </c>
      <c r="G29" s="217" t="inlineStr">
        <is>
          <t>Ventas: -2.8% vs SG&amp;A: -0.6% [0]</t>
        </is>
      </c>
      <c r="H29" s="217" t="inlineStr">
        <is>
          <t>Ventas: +7.8% vs SG&amp;A: +14.2% [0]</t>
        </is>
      </c>
      <c r="I29" s="216" t="inlineStr">
        <is>
          <t>Ventas: +33.3% vs SG&amp;A: +10.3% [1]</t>
        </is>
      </c>
      <c r="J29" s="217" t="inlineStr">
        <is>
          <t>Ventas: +5.5% vs SG&amp;A: +9.2% [0]</t>
        </is>
      </c>
      <c r="K29" s="217" t="inlineStr">
        <is>
          <t>Ventas: -2.0% vs SG&amp;A: +9.2% [0]</t>
        </is>
      </c>
      <c r="L29" s="216" t="inlineStr">
        <is>
          <t>Ventas: +15.9% vs SG&amp;A: +9.5% [1]</t>
        </is>
      </c>
      <c r="M29" s="217" t="inlineStr">
        <is>
          <t>Ventas: +6.3% vs SG&amp;A: +7.5% [0]</t>
        </is>
      </c>
      <c r="N29" s="217" t="inlineStr">
        <is>
          <t>N/A [0]</t>
        </is>
      </c>
    </row>
    <row r="30" ht="18.5" customHeight="1" s="105">
      <c r="A30" s="118" t="inlineStr">
        <is>
          <t>TOTAL MOHANRAM G-SCORE (0 a 8 Pts)</t>
        </is>
      </c>
      <c r="B30" s="118" t="inlineStr">
        <is>
          <t>PUNTUACIÓN</t>
        </is>
      </c>
      <c r="C30" s="118" t="inlineStr">
        <is>
          <t>Escala 0-8 (&gt;=6 Élite)</t>
        </is>
      </c>
      <c r="D30" s="134" t="inlineStr">
        <is>
          <t>7 / 8 Pts</t>
        </is>
      </c>
      <c r="E30" s="134" t="inlineStr">
        <is>
          <t>6 / 8 Pts</t>
        </is>
      </c>
      <c r="F30" s="134" t="inlineStr">
        <is>
          <t>6 / 8 Pts</t>
        </is>
      </c>
      <c r="G30" s="134" t="inlineStr">
        <is>
          <t>6 / 8 Pts</t>
        </is>
      </c>
      <c r="H30" s="134" t="inlineStr">
        <is>
          <t>6 / 8 Pts</t>
        </is>
      </c>
      <c r="I30" s="134" t="inlineStr">
        <is>
          <t>7 / 8 Pts</t>
        </is>
      </c>
      <c r="J30" s="135" t="inlineStr">
        <is>
          <t>4 / 8 Pts</t>
        </is>
      </c>
      <c r="K30" s="135" t="inlineStr">
        <is>
          <t>4 / 8 Pts</t>
        </is>
      </c>
      <c r="L30" s="135" t="inlineStr">
        <is>
          <t>5 / 8 Pts</t>
        </is>
      </c>
      <c r="M30" s="135" t="inlineStr">
        <is>
          <t>4 / 8 Pts</t>
        </is>
      </c>
      <c r="N30" s="136" t="inlineStr">
        <is>
          <t>3 / 8 Pts</t>
        </is>
      </c>
    </row>
    <row r="31" ht="18.5" customHeight="1" s="105">
      <c r="A31" s="131" t="inlineStr">
        <is>
          <t>Dictamen de Calidad de Crecimiento</t>
        </is>
      </c>
      <c r="B31" s="131" t="inlineStr">
        <is>
          <t>-</t>
        </is>
      </c>
      <c r="C31" s="131" t="inlineStr">
        <is>
          <t>Clasificación</t>
        </is>
      </c>
      <c r="D31" s="137" t="inlineStr">
        <is>
          <t>CRECIMIENTO DE ÉLITE</t>
        </is>
      </c>
      <c r="E31" s="137" t="inlineStr">
        <is>
          <t>CRECIMIENTO DE ÉLITE</t>
        </is>
      </c>
      <c r="F31" s="137" t="inlineStr">
        <is>
          <t>CRECIMIENTO DE ÉLITE</t>
        </is>
      </c>
      <c r="G31" s="137" t="inlineStr">
        <is>
          <t>CRECIMIENTO DE ÉLITE</t>
        </is>
      </c>
      <c r="H31" s="137" t="inlineStr">
        <is>
          <t>CRECIMIENTO DE ÉLITE</t>
        </is>
      </c>
      <c r="I31" s="137" t="inlineStr">
        <is>
          <t>CRECIMIENTO DE ÉLITE</t>
        </is>
      </c>
      <c r="J31" s="137" t="inlineStr">
        <is>
          <t>CRECIMIENTO PROMEDIO</t>
        </is>
      </c>
      <c r="K31" s="137" t="inlineStr">
        <is>
          <t>CRECIMIENTO PROMEDIO</t>
        </is>
      </c>
      <c r="L31" s="137" t="inlineStr">
        <is>
          <t>CRECIMIENTO PROMEDIO</t>
        </is>
      </c>
      <c r="M31" s="137" t="inlineStr">
        <is>
          <t>CRECIMIENTO PROMEDIO</t>
        </is>
      </c>
      <c r="N31" s="137" t="inlineStr">
        <is>
          <t>CRECIMIENTO FRÁGIL</t>
        </is>
      </c>
    </row>
    <row r="32" ht="10" customHeight="1" s="105"/>
    <row r="33" ht="10" customHeight="1" s="105"/>
    <row r="34" ht="22" customHeight="1" s="105">
      <c r="A34" s="124" t="inlineStr">
        <is>
          <t>MATRIZ COMBINADA Y CLASIFICACIÓN ESTRATÉGICA</t>
        </is>
      </c>
      <c r="B34" s="125" t="n"/>
      <c r="C34" s="125" t="n"/>
      <c r="D34" s="125" t="n"/>
      <c r="E34" s="125" t="n"/>
      <c r="F34" s="125" t="n"/>
      <c r="G34" s="125" t="n"/>
      <c r="H34" s="125" t="n"/>
      <c r="I34" s="125" t="n"/>
      <c r="J34" s="125" t="n"/>
      <c r="K34" s="125" t="n"/>
      <c r="L34" s="125" t="n"/>
      <c r="M34" s="125" t="n"/>
      <c r="N34" s="125" t="n"/>
    </row>
    <row r="35" ht="18.5" customHeight="1" s="105">
      <c r="A35" s="138" t="inlineStr">
        <is>
          <t xml:space="preserve">   Cuadrante Estratégico</t>
        </is>
      </c>
      <c r="B35" s="131" t="inlineStr">
        <is>
          <t>Posición</t>
        </is>
      </c>
      <c r="C35" s="131" t="inlineStr">
        <is>
          <t>Matriz 2x2</t>
        </is>
      </c>
      <c r="D35" s="137" t="inlineStr">
        <is>
          <t>💎 COMPOUNDER DE ÉLITE</t>
        </is>
      </c>
      <c r="E35" s="137" t="inlineStr">
        <is>
          <t>💎 COMPOUNDER DE ÉLITE</t>
        </is>
      </c>
      <c r="F35" s="137" t="inlineStr">
        <is>
          <t>💎 COMPOUNDER DE ÉLITE</t>
        </is>
      </c>
      <c r="G35" s="137" t="inlineStr">
        <is>
          <t>💎 COMPOUNDER DE ÉLITE</t>
        </is>
      </c>
      <c r="H35" s="137" t="inlineStr">
        <is>
          <t>💎 COMPOUNDER DE ÉLITE</t>
        </is>
      </c>
      <c r="I35" s="137" t="inlineStr">
        <is>
          <t>💎 COMPOUNDER DE ÉLITE</t>
        </is>
      </c>
      <c r="J35" s="137" t="inlineStr">
        <is>
          <t>🛡️ GENERADOR MADURO (CASH COW)</t>
        </is>
      </c>
      <c r="K35" s="137" t="inlineStr">
        <is>
          <t>🛡️ GENERADOR MADURO (CASH COW)</t>
        </is>
      </c>
      <c r="L35" s="137" t="inlineStr">
        <is>
          <t>🚨 TRAMPA DE VALOR / DETERIORO</t>
        </is>
      </c>
      <c r="M35" s="137" t="inlineStr">
        <is>
          <t>🛡️ GENERADOR MADURO (CASH COW)</t>
        </is>
      </c>
      <c r="N35" s="137" t="inlineStr">
        <is>
          <t>🚨 TRAMPA DE VALOR / DETERIORO</t>
        </is>
      </c>
    </row>
    <row r="36" ht="10" customHeight="1" s="105"/>
    <row r="37" ht="10" customHeight="1" s="105"/>
    <row r="38" ht="22" customHeight="1" s="105">
      <c r="A38" s="124" t="inlineStr">
        <is>
          <t>PRODUCTIVIDAD PURA DEL CAPITAL (NOVY-MARX GP/A &amp; DUPONT)</t>
        </is>
      </c>
      <c r="B38" s="125" t="n"/>
      <c r="C38" s="125" t="n"/>
      <c r="D38" s="125" t="n"/>
      <c r="E38" s="125" t="n"/>
      <c r="F38" s="125" t="n"/>
      <c r="G38" s="125" t="n"/>
      <c r="H38" s="125" t="n"/>
      <c r="I38" s="125" t="n"/>
      <c r="J38" s="125" t="n"/>
      <c r="K38" s="125" t="n"/>
      <c r="L38" s="125" t="n"/>
      <c r="M38" s="125" t="n"/>
      <c r="N38" s="125" t="n"/>
    </row>
    <row r="39" ht="22" customHeight="1" s="105">
      <c r="A39" s="112" t="inlineStr">
        <is>
          <t xml:space="preserve">   Gross Profitability (Activos Totales)</t>
        </is>
      </c>
      <c r="B39" s="131" t="inlineStr">
        <is>
          <t>Métrica Base</t>
        </is>
      </c>
      <c r="C39" s="112" t="inlineStr">
        <is>
          <t>GP / Activos Totales</t>
        </is>
      </c>
      <c r="D39" s="139" t="n">
        <v>0.5925988738891527</v>
      </c>
      <c r="E39" s="139" t="n">
        <v>0.5433706063617461</v>
      </c>
      <c r="F39" s="139" t="n">
        <v>0.495049043783221</v>
      </c>
      <c r="G39" s="139" t="n">
        <v>0.4797395223252398</v>
      </c>
      <c r="H39" s="139" t="n">
        <v>0.484137715978512</v>
      </c>
      <c r="I39" s="139" t="n">
        <v>0.4354277183605791</v>
      </c>
      <c r="J39" s="126" t="n">
        <v>0.3240502889887862</v>
      </c>
      <c r="K39" s="126" t="n">
        <v>0.2906568670313959</v>
      </c>
      <c r="L39" s="126" t="n">
        <v>0.2784578576799508</v>
      </c>
      <c r="M39" s="126" t="n">
        <v>0.2349627916519015</v>
      </c>
      <c r="N39" s="126" t="n">
        <v>0.2619417693029849</v>
      </c>
    </row>
    <row r="40" ht="22" customHeight="1" s="105">
      <c r="A40" s="112" t="inlineStr">
        <is>
          <t xml:space="preserve">   Gross Profitability Operativa (Ex-Caja)</t>
        </is>
      </c>
      <c r="B40" s="131" t="inlineStr">
        <is>
          <t>Métrica Operativa</t>
        </is>
      </c>
      <c r="C40" s="112" t="inlineStr">
        <is>
          <t>GP / (Activos - Caja)</t>
        </is>
      </c>
      <c r="D40" s="126" t="n">
        <v>0.6607752776953468</v>
      </c>
      <c r="E40" s="126" t="n">
        <v>0.6037636054895192</v>
      </c>
      <c r="F40" s="126" t="n">
        <v>0.5392926751373729</v>
      </c>
      <c r="G40" s="126" t="n">
        <v>0.5242980862816086</v>
      </c>
      <c r="H40" s="126" t="n">
        <v>0.5189223023375235</v>
      </c>
      <c r="I40" s="126" t="n">
        <v>0.4835633514943271</v>
      </c>
      <c r="J40" s="126" t="n">
        <v>0.3671433368780433</v>
      </c>
      <c r="K40" s="126" t="n">
        <v>0.3396669336352841</v>
      </c>
      <c r="L40" s="126" t="n">
        <v>0.2996921827363366</v>
      </c>
      <c r="M40" s="126" t="n">
        <v>0.2483902768780103</v>
      </c>
      <c r="N40" s="126" t="n">
        <v>0.2797557785140869</v>
      </c>
    </row>
    <row r="41" ht="22" customHeight="1" s="105">
      <c r="A41" s="138" t="inlineStr">
        <is>
          <t xml:space="preserve">   Efecto Arrastre de Caja (Cash Drag)</t>
        </is>
      </c>
      <c r="B41" s="131" t="inlineStr">
        <is>
          <t>Dilución de Caja</t>
        </is>
      </c>
      <c r="C41" s="112" t="inlineStr">
        <is>
          <t>Ex-Caja vs Total (p.p.)</t>
        </is>
      </c>
      <c r="D41" s="140" t="n">
        <v>0.06817640380619416</v>
      </c>
      <c r="E41" s="140" t="n">
        <v>0.06039299912777318</v>
      </c>
      <c r="F41" s="140" t="n">
        <v>0.04424363135415188</v>
      </c>
      <c r="G41" s="140" t="n">
        <v>0.04455856395636881</v>
      </c>
      <c r="H41" s="140" t="n">
        <v>0.03478458635901144</v>
      </c>
      <c r="I41" s="140" t="n">
        <v>0.04813563313374791</v>
      </c>
      <c r="J41" s="140" t="n">
        <v>0.04309304788925711</v>
      </c>
      <c r="K41" s="140" t="n">
        <v>0.04901006660388818</v>
      </c>
      <c r="L41" s="140" t="n">
        <v>0.02123432505638578</v>
      </c>
      <c r="M41" s="140" t="n">
        <v>0.01342748522610884</v>
      </c>
      <c r="N41" s="140" t="n">
        <v>0.01781400921110199</v>
      </c>
    </row>
    <row r="42" ht="22" customHeight="1" s="105">
      <c r="A42" s="112" t="inlineStr">
        <is>
          <t xml:space="preserve">   Margen Bruto de Utilidad (DuPont)</t>
        </is>
      </c>
      <c r="B42" s="131" t="inlineStr">
        <is>
          <t>Fijación Precios</t>
        </is>
      </c>
      <c r="C42" s="112" t="inlineStr">
        <is>
          <t>Utilidad Bruta / Ventas</t>
        </is>
      </c>
      <c r="D42" s="126" t="n">
        <v>0.4865291555900202</v>
      </c>
      <c r="E42" s="126" t="n">
        <v>0.4690516410716045</v>
      </c>
      <c r="F42" s="126" t="n">
        <v>0.4620634981523393</v>
      </c>
      <c r="G42" s="126" t="n">
        <v>0.4413112957720756</v>
      </c>
      <c r="H42" s="126" t="n">
        <v>0.4330963056136009</v>
      </c>
      <c r="I42" s="126" t="n">
        <v>0.4177935962516778</v>
      </c>
      <c r="J42" s="126" t="n">
        <v>0.3823324772781087</v>
      </c>
      <c r="K42" s="126" t="n">
        <v>0.3781776810903472</v>
      </c>
      <c r="L42" s="126" t="n">
        <v>0.383437188200079</v>
      </c>
      <c r="M42" s="126" t="n">
        <v>0.384698604918991</v>
      </c>
      <c r="N42" s="126" t="n">
        <v>0.3907595564809705</v>
      </c>
    </row>
    <row r="43" ht="22" customHeight="1" s="105">
      <c r="A43" s="112" t="inlineStr">
        <is>
          <t xml:space="preserve">   Rotación de Activos Totales (DuPont)</t>
        </is>
      </c>
      <c r="B43" s="131" t="inlineStr">
        <is>
          <t>Velocidad de Capital</t>
        </is>
      </c>
      <c r="C43" s="112" t="inlineStr">
        <is>
          <t>Ventas / Activos Totales</t>
        </is>
      </c>
      <c r="D43" s="127" t="n">
        <v>1.218013077079626</v>
      </c>
      <c r="E43" s="127" t="n">
        <v>1.158445166336804</v>
      </c>
      <c r="F43" s="127" t="n">
        <v>1.071387473286207</v>
      </c>
      <c r="G43" s="127" t="n">
        <v>1.087077369016657</v>
      </c>
      <c r="H43" s="127" t="n">
        <v>1.117852333772732</v>
      </c>
      <c r="I43" s="127" t="n">
        <v>1.042207736708053</v>
      </c>
      <c r="J43" s="127" t="n">
        <v>0.8475615027416885</v>
      </c>
      <c r="K43" s="127" t="n">
        <v>0.7685722388306608</v>
      </c>
      <c r="L43" s="127" t="n">
        <v>0.7262150522933899</v>
      </c>
      <c r="M43" s="127" t="n">
        <v>0.6107711040474902</v>
      </c>
      <c r="N43" s="127" t="n">
        <v>0.670340021014281</v>
      </c>
    </row>
    <row r="44" ht="22" customHeight="1" s="105">
      <c r="A44" s="138" t="inlineStr">
        <is>
          <t xml:space="preserve">   Dictamen Estratégico de Productividad</t>
        </is>
      </c>
      <c r="B44" s="131" t="inlineStr">
        <is>
          <t>Diagnóstico</t>
        </is>
      </c>
      <c r="C44" s="112" t="inlineStr">
        <is>
          <t>Desempeño Sectorial</t>
        </is>
      </c>
      <c r="D44" s="137" t="inlineStr">
        <is>
          <t>PRODUCTIVIDAD EXCEPCIONAL</t>
        </is>
      </c>
      <c r="E44" s="137" t="inlineStr">
        <is>
          <t>PRODUCTIVIDAD EXCEPCIONAL</t>
        </is>
      </c>
      <c r="F44" s="137" t="inlineStr">
        <is>
          <t>PRODUCTIVIDAD EXCEPCIONAL</t>
        </is>
      </c>
      <c r="G44" s="137" t="inlineStr">
        <is>
          <t>PRODUCTIVIDAD EXCEPCIONAL</t>
        </is>
      </c>
      <c r="H44" s="137" t="inlineStr">
        <is>
          <t>PRODUCTIVIDAD EXCEPCIONAL</t>
        </is>
      </c>
      <c r="I44" s="137" t="inlineStr">
        <is>
          <t>PRODUCTIVIDAD EXCEPCIONAL</t>
        </is>
      </c>
      <c r="J44" s="137" t="inlineStr">
        <is>
          <t>PRODUCTIVIDAD SÓLIDA</t>
        </is>
      </c>
      <c r="K44" s="137" t="inlineStr">
        <is>
          <t>PRODUCTIVIDAD SÓLIDA</t>
        </is>
      </c>
      <c r="L44" s="137" t="inlineStr">
        <is>
          <t>PRODUCTIVIDAD SÓLIDA</t>
        </is>
      </c>
      <c r="M44" s="137" t="inlineStr">
        <is>
          <t>PRODUCTIVIDAD REZAGADA</t>
        </is>
      </c>
      <c r="N44" s="137" t="inlineStr">
        <is>
          <t>PRODUCTIVIDAD SÓLIDA</t>
        </is>
      </c>
    </row>
    <row r="45" ht="22" customHeight="1" s="105">
      <c r="A45" s="138" t="inlineStr">
        <is>
          <t xml:space="preserve">   Cuadrante Estratégico DuPont</t>
        </is>
      </c>
      <c r="B45" s="131" t="inlineStr">
        <is>
          <t>Estrategia</t>
        </is>
      </c>
      <c r="C45" s="112" t="inlineStr">
        <is>
          <t>Margen vs Rotación</t>
        </is>
      </c>
      <c r="D45" s="137" t="inlineStr">
        <is>
          <t>💎 COMPOUNDER DE ÉLITE (MARGEN + VELOCIDAD)</t>
        </is>
      </c>
      <c r="E45" s="137" t="inlineStr">
        <is>
          <t>👑 MONOPOLIO / PODER DE MARCA</t>
        </is>
      </c>
      <c r="F45" s="137" t="inlineStr">
        <is>
          <t>👑 MONOPOLIO / PODER DE MARCA</t>
        </is>
      </c>
      <c r="G45" s="137" t="inlineStr">
        <is>
          <t>👑 MONOPOLIO / PODER DE MARCA</t>
        </is>
      </c>
      <c r="H45" s="137" t="inlineStr">
        <is>
          <t>👑 MONOPOLIO / PODER DE MARCA</t>
        </is>
      </c>
      <c r="I45" s="137" t="inlineStr">
        <is>
          <t>👑 MONOPOLIO / PODER DE MARCA</t>
        </is>
      </c>
      <c r="J45" s="137" t="inlineStr">
        <is>
          <t>👑 MONOPOLIO / PODER DE MARCA</t>
        </is>
      </c>
      <c r="K45" s="137" t="inlineStr">
        <is>
          <t>👑 MONOPOLIO / PODER DE MARCA</t>
        </is>
      </c>
      <c r="L45" s="137" t="inlineStr">
        <is>
          <t>👑 MONOPOLIO / PODER DE MARCA</t>
        </is>
      </c>
      <c r="M45" s="137" t="inlineStr">
        <is>
          <t>👑 MONOPOLIO / PODER DE MARCA</t>
        </is>
      </c>
      <c r="N45" s="137" t="inlineStr">
        <is>
          <t>👑 MONOPOLIO / PODER DE MARCA</t>
        </is>
      </c>
    </row>
    <row r="46" ht="22" customHeight="1" s="105">
      <c r="A46" s="138" t="inlineStr">
        <is>
          <t xml:space="preserve">   Ajuste Sectorial vs Mediana (De-meaning)</t>
        </is>
      </c>
      <c r="B46" s="131" t="inlineStr">
        <is>
          <t>Ventaja Neta</t>
        </is>
      </c>
      <c r="C46" s="112" t="inlineStr">
        <is>
          <t>GP/A Empresa - Mediana</t>
        </is>
      </c>
      <c r="D46" s="140" t="n">
        <v>0.3356783987748099</v>
      </c>
      <c r="E46" s="140" t="n">
        <v>0.2864501312474033</v>
      </c>
      <c r="F46" s="140" t="n">
        <v>0.2381285686688782</v>
      </c>
      <c r="G46" s="140" t="n">
        <v>0.222819047210897</v>
      </c>
      <c r="H46" s="140" t="n">
        <v>0.2272172408641692</v>
      </c>
      <c r="I46" s="140" t="n">
        <v>0.1785072432462363</v>
      </c>
      <c r="J46" s="140" t="n">
        <v>0.06712981387444344</v>
      </c>
      <c r="K46" s="140" t="n">
        <v>0.03373639191705308</v>
      </c>
      <c r="L46" s="140" t="n">
        <v>0.021537382565608</v>
      </c>
      <c r="M46" s="140" t="n">
        <v>-0.02195768346244134</v>
      </c>
      <c r="N46" s="140" t="n">
        <v>0.005021294188642111</v>
      </c>
    </row>
    <row r="47" ht="10" customHeight="1" s="105"/>
    <row r="48" ht="10" customHeight="1" s="105"/>
    <row r="49" ht="10" customHeight="1" s="105"/>
    <row r="50" ht="22" customHeight="1" s="105">
      <c r="A50" s="124" t="inlineStr">
        <is>
          <t>RENDIMIENTO DEL CAPITAL (ROIC AJUSTADO VS WACC) Y CREACIÓN DE VALOR</t>
        </is>
      </c>
      <c r="B50" s="125" t="n"/>
      <c r="C50" s="125" t="n"/>
      <c r="D50" s="125" t="n"/>
      <c r="E50" s="125" t="n"/>
      <c r="F50" s="125" t="n"/>
      <c r="G50" s="125" t="n"/>
      <c r="H50" s="125" t="n"/>
      <c r="I50" s="125" t="n"/>
      <c r="J50" s="125" t="n"/>
      <c r="K50" s="125" t="n"/>
      <c r="L50" s="125" t="n"/>
      <c r="M50" s="125" t="n"/>
      <c r="N50" s="125" t="n"/>
    </row>
    <row r="51" ht="22" customHeight="1" s="105">
      <c r="A51" s="138" t="inlineStr">
        <is>
          <t xml:space="preserve">   ROC Greenblatt (EBIT / Capital Tangible Operativo Promedio)</t>
        </is>
      </c>
      <c r="B51" s="131" t="inlineStr">
        <is>
          <t>Productividad Pura</t>
        </is>
      </c>
      <c r="C51" s="112" t="inlineStr">
        <is>
          <t>EBIT / (NWC + Net PP&amp;E) Promedio</t>
        </is>
      </c>
      <c r="D51" s="141" t="n">
        <v>3.058490100232064</v>
      </c>
      <c r="E51" s="141" t="n">
        <v>2.785979018782587</v>
      </c>
      <c r="F51" s="141" t="n">
        <v>2.756664242966609</v>
      </c>
      <c r="G51" s="141" t="n">
        <v>2.663365644514866</v>
      </c>
      <c r="H51" s="141" t="n">
        <v>2.928920877423152</v>
      </c>
      <c r="I51" s="141" t="n">
        <v>2.554969279114488</v>
      </c>
      <c r="J51" s="141" t="n">
        <v>1.303099106537316</v>
      </c>
      <c r="K51" s="141" t="n">
        <v>1.315445632156709</v>
      </c>
      <c r="L51" s="141" t="n">
        <v>1.590978962131837</v>
      </c>
      <c r="M51" s="141" t="n">
        <v>1.431431571578579</v>
      </c>
      <c r="N51" s="141" t="n">
        <v>1.584206497928158</v>
      </c>
    </row>
    <row r="52" ht="22" customHeight="1" s="105">
      <c r="A52" s="112" t="inlineStr">
        <is>
          <t xml:space="preserve">      (+) EBIT Operativo ($M) [Income Statement]</t>
        </is>
      </c>
      <c r="B52" s="131" t="inlineStr">
        <is>
          <t>Desglose ROC</t>
        </is>
      </c>
      <c r="C52" s="112" t="inlineStr">
        <is>
          <t>Beneficio Operativo Auditado</t>
        </is>
      </c>
      <c r="D52" s="142" t="n">
        <v>154859</v>
      </c>
      <c r="E52" s="142" t="n">
        <v>133050</v>
      </c>
      <c r="F52" s="142" t="n">
        <v>123216</v>
      </c>
      <c r="G52" s="142" t="n">
        <v>114301</v>
      </c>
      <c r="H52" s="142" t="n">
        <v>119437</v>
      </c>
      <c r="I52" s="142" t="n">
        <v>108949</v>
      </c>
      <c r="J52" s="142" t="n">
        <v>66288</v>
      </c>
      <c r="K52" s="142" t="n">
        <v>63930</v>
      </c>
      <c r="L52" s="142" t="n">
        <v>70898</v>
      </c>
      <c r="M52" s="142" t="n">
        <v>61344</v>
      </c>
      <c r="N52" s="142" t="n">
        <v>60024</v>
      </c>
    </row>
    <row r="53" ht="22" customHeight="1" s="105">
      <c r="A53" s="112" t="inlineStr">
        <is>
          <t xml:space="preserve">      (+) Activos Corrientes Operativos ex-Caja ($M)</t>
        </is>
      </c>
      <c r="B53" s="131" t="inlineStr">
        <is>
          <t>Desglose ROC</t>
        </is>
      </c>
      <c r="C53" s="112" t="inlineStr">
        <is>
          <t>Current Assets - Efectivo</t>
        </is>
      </c>
      <c r="D53" s="142" t="n">
        <v>110274</v>
      </c>
      <c r="E53" s="142" t="n">
        <v>112023</v>
      </c>
      <c r="F53" s="142" t="n">
        <v>123044</v>
      </c>
      <c r="G53" s="142" t="n">
        <v>113601</v>
      </c>
      <c r="H53" s="142" t="n">
        <v>111759</v>
      </c>
      <c r="I53" s="142" t="n">
        <v>99896</v>
      </c>
      <c r="J53" s="142" t="n">
        <v>105697</v>
      </c>
      <c r="K53" s="142" t="n">
        <v>113975</v>
      </c>
      <c r="L53" s="142" t="n">
        <v>105426</v>
      </c>
      <c r="M53" s="142" t="n">
        <v>108356</v>
      </c>
      <c r="N53" s="142" t="n">
        <v>86385</v>
      </c>
    </row>
    <row r="54" ht="22" customHeight="1" s="105">
      <c r="A54" s="112" t="inlineStr">
        <is>
          <t xml:space="preserve">      (-) Pasivos Corrientes Operativos ex-Deuda CP ($M)</t>
        </is>
      </c>
      <c r="B54" s="131" t="inlineStr">
        <is>
          <t>Desglose ROC</t>
        </is>
      </c>
      <c r="C54" s="112" t="inlineStr">
        <is>
          <t>Current Liabilities - Deuda CP</t>
        </is>
      </c>
      <c r="D54" s="142" t="n">
        <v>138319</v>
      </c>
      <c r="E54" s="142" t="n">
        <v>153281</v>
      </c>
      <c r="F54" s="142" t="n">
        <v>165480</v>
      </c>
      <c r="G54" s="142" t="n">
        <v>135486</v>
      </c>
      <c r="H54" s="142" t="n">
        <v>142854</v>
      </c>
      <c r="I54" s="142" t="n">
        <v>115868</v>
      </c>
      <c r="J54" s="142" t="n">
        <v>96619</v>
      </c>
      <c r="K54" s="142" t="n">
        <v>95458</v>
      </c>
      <c r="L54" s="142" t="n">
        <v>108082</v>
      </c>
      <c r="M54" s="142" t="n">
        <v>94318</v>
      </c>
      <c r="N54" s="142" t="n">
        <v>75506</v>
      </c>
    </row>
    <row r="55" ht="22" customHeight="1" s="105">
      <c r="A55" s="112" t="inlineStr">
        <is>
          <t xml:space="preserve">      (=) Capital de Trabajo Neto Operativo (NWC $M)</t>
        </is>
      </c>
      <c r="B55" s="131" t="inlineStr">
        <is>
          <t>Desglose ROC</t>
        </is>
      </c>
      <c r="C55" s="112" t="inlineStr">
        <is>
          <t>Activos Op. - Pasivos Op.</t>
        </is>
      </c>
      <c r="D55" s="142" t="n">
        <v>-28045</v>
      </c>
      <c r="E55" s="142" t="n">
        <v>-41258</v>
      </c>
      <c r="F55" s="142" t="n">
        <v>-42436</v>
      </c>
      <c r="G55" s="142" t="n">
        <v>-21885</v>
      </c>
      <c r="H55" s="142" t="n">
        <v>-31095</v>
      </c>
      <c r="I55" s="142" t="n">
        <v>-15972</v>
      </c>
      <c r="J55" s="142" t="n">
        <v>9078</v>
      </c>
      <c r="K55" s="142" t="n">
        <v>18517</v>
      </c>
      <c r="L55" s="142" t="n">
        <v>-2656</v>
      </c>
      <c r="M55" s="142" t="n">
        <v>14038</v>
      </c>
      <c r="N55" s="142" t="n">
        <v>10879</v>
      </c>
    </row>
    <row r="56" ht="22" customHeight="1" s="105">
      <c r="A56" s="112" t="inlineStr">
        <is>
          <t xml:space="preserve">      (+) PP&amp;E Neto ($M) [Balance Sheet]</t>
        </is>
      </c>
      <c r="B56" s="131" t="inlineStr">
        <is>
          <t>Desglose ROC</t>
        </is>
      </c>
      <c r="C56" s="112" t="inlineStr">
        <is>
          <t>Property, Plant &amp; Equipment Net</t>
        </is>
      </c>
      <c r="D56" s="142" t="n">
        <v>51431</v>
      </c>
      <c r="E56" s="142" t="n">
        <v>49834</v>
      </c>
      <c r="F56" s="142" t="n">
        <v>45680</v>
      </c>
      <c r="G56" s="142" t="n">
        <v>43715</v>
      </c>
      <c r="H56" s="142" t="n">
        <v>42117</v>
      </c>
      <c r="I56" s="142" t="n">
        <v>39440</v>
      </c>
      <c r="J56" s="142" t="n">
        <v>36766</v>
      </c>
      <c r="K56" s="142" t="n">
        <v>37378</v>
      </c>
      <c r="L56" s="142" t="n">
        <v>41304</v>
      </c>
      <c r="M56" s="142" t="n">
        <v>33783</v>
      </c>
      <c r="N56" s="142" t="n">
        <v>27010</v>
      </c>
    </row>
    <row r="57" ht="22" customHeight="1" s="105">
      <c r="A57" s="112" t="inlineStr">
        <is>
          <t xml:space="preserve">      (=) Capital Tangible Operativo al Cierre ($M)</t>
        </is>
      </c>
      <c r="B57" s="131" t="inlineStr">
        <is>
          <t>Desglose ROC</t>
        </is>
      </c>
      <c r="C57" s="112" t="inlineStr">
        <is>
          <t>Net PP&amp;E + max(0, NWC)</t>
        </is>
      </c>
      <c r="D57" s="142" t="n">
        <v>51431</v>
      </c>
      <c r="E57" s="142" t="n">
        <v>49834</v>
      </c>
      <c r="F57" s="142" t="n">
        <v>45680</v>
      </c>
      <c r="G57" s="142" t="n">
        <v>43715</v>
      </c>
      <c r="H57" s="142" t="n">
        <v>42117</v>
      </c>
      <c r="I57" s="142" t="n">
        <v>39440</v>
      </c>
      <c r="J57" s="142" t="n">
        <v>45844</v>
      </c>
      <c r="K57" s="142" t="n">
        <v>55895</v>
      </c>
      <c r="L57" s="142" t="n">
        <v>41304</v>
      </c>
      <c r="M57" s="142" t="n">
        <v>47821</v>
      </c>
      <c r="N57" s="142" t="n">
        <v>37889</v>
      </c>
    </row>
    <row r="58" ht="22" customHeight="1" s="105">
      <c r="A58" s="112" t="inlineStr">
        <is>
          <t xml:space="preserve">      (=) Capital Tangible Operativo Promedio ($M)</t>
        </is>
      </c>
      <c r="B58" s="131" t="inlineStr">
        <is>
          <t>Desglose ROC</t>
        </is>
      </c>
      <c r="C58" s="112" t="inlineStr">
        <is>
          <t>Denominador ((t + t-1)/2)</t>
        </is>
      </c>
      <c r="D58" s="142" t="n">
        <v>50632.5</v>
      </c>
      <c r="E58" s="142" t="n">
        <v>47757</v>
      </c>
      <c r="F58" s="142" t="n">
        <v>44697.5</v>
      </c>
      <c r="G58" s="142" t="n">
        <v>42916</v>
      </c>
      <c r="H58" s="142" t="n">
        <v>40778.5</v>
      </c>
      <c r="I58" s="142" t="n">
        <v>42642</v>
      </c>
      <c r="J58" s="142" t="n">
        <v>50869.5</v>
      </c>
      <c r="K58" s="142" t="n">
        <v>48599.5</v>
      </c>
      <c r="L58" s="142" t="n">
        <v>44562.5</v>
      </c>
      <c r="M58" s="142" t="n">
        <v>42855</v>
      </c>
      <c r="N58" s="142" t="n">
        <v>37889</v>
      </c>
    </row>
    <row r="59" ht="22" customHeight="1" s="105">
      <c r="A59" s="138" t="inlineStr">
        <is>
          <t xml:space="preserve">   ROIC Tradicional (NOPAT / Capital Invertido Promedio)</t>
        </is>
      </c>
      <c r="B59" s="131" t="inlineStr">
        <is>
          <t>Retorno Contable</t>
        </is>
      </c>
      <c r="C59" s="112" t="inlineStr">
        <is>
          <t>EBIT*(1-t) / IC Promedio</t>
        </is>
      </c>
      <c r="D59" s="143" t="n">
        <v>0.6822283820473294</v>
      </c>
      <c r="E59" s="143" t="n">
        <v>0.6612868835748713</v>
      </c>
      <c r="F59" s="143" t="n">
        <v>0.5244445737776701</v>
      </c>
      <c r="G59" s="143" t="n">
        <v>0.5221222842017081</v>
      </c>
      <c r="H59" s="143" t="n">
        <v>0.5179616306315918</v>
      </c>
      <c r="I59" s="143" t="n">
        <v>0.4850792011902916</v>
      </c>
      <c r="J59" s="143" t="n">
        <v>0.2958474036242692</v>
      </c>
      <c r="K59" s="143" t="n">
        <v>0.2523200473820621</v>
      </c>
      <c r="L59" s="143" t="n">
        <v>0.2351292567374541</v>
      </c>
      <c r="M59" s="143" t="n">
        <v>0.1902932323083798</v>
      </c>
      <c r="N59" s="143" t="n">
        <v>0.1979809647911296</v>
      </c>
    </row>
    <row r="60" ht="22" customHeight="1" s="105">
      <c r="A60" s="138" t="inlineStr">
        <is>
          <t xml:space="preserve">   ROIC Ajustado por Intangibles (Damodaran - Capital Promedio)</t>
        </is>
      </c>
      <c r="B60" s="131" t="inlineStr">
        <is>
          <t>Retorno Económico</t>
        </is>
      </c>
      <c r="C60" s="112" t="inlineStr">
        <is>
          <t>NOPAT Adj / IC Promedio</t>
        </is>
      </c>
      <c r="D60" s="141" t="n">
        <v>0.5271515777749817</v>
      </c>
      <c r="E60" s="141" t="n">
        <v>0.4814832776622539</v>
      </c>
      <c r="F60" s="141" t="n">
        <v>0.4004001015748331</v>
      </c>
      <c r="G60" s="141" t="n">
        <v>0.4255233137854053</v>
      </c>
      <c r="H60" s="141" t="n">
        <v>0.4372866050607048</v>
      </c>
      <c r="I60" s="141" t="n">
        <v>0.4195646021908112</v>
      </c>
      <c r="J60" s="141" t="n">
        <v>0.2681909924861339</v>
      </c>
      <c r="K60" s="141" t="n">
        <v>0.244671417610036</v>
      </c>
      <c r="L60" s="141" t="n">
        <v>0.2413479785124696</v>
      </c>
      <c r="M60" s="141" t="n">
        <v>0.2060742328226718</v>
      </c>
      <c r="N60" s="141" t="n">
        <v>0.2212652246556841</v>
      </c>
    </row>
    <row r="61" ht="22" customHeight="1" s="105">
      <c r="A61" s="112" t="inlineStr">
        <is>
          <t xml:space="preserve">   Stock de Intangibles Capitalizados ($M)</t>
        </is>
      </c>
      <c r="B61" s="131" t="inlineStr">
        <is>
          <t>Capital Oculto</t>
        </is>
      </c>
      <c r="C61" s="112" t="inlineStr">
        <is>
          <t>Stock Neto I+D y Marca</t>
        </is>
      </c>
      <c r="D61" s="142" t="n">
        <v>79597.75</v>
      </c>
      <c r="E61" s="142" t="n">
        <v>79597.75</v>
      </c>
      <c r="F61" s="142" t="n">
        <v>72410.25</v>
      </c>
      <c r="G61" s="142" t="n">
        <v>65248.25</v>
      </c>
      <c r="H61" s="142" t="n">
        <v>56116.75</v>
      </c>
      <c r="I61" s="142" t="n">
        <v>47645.5</v>
      </c>
      <c r="J61" s="142" t="n">
        <v>40928</v>
      </c>
      <c r="K61" s="142" t="n">
        <v>35195.75</v>
      </c>
      <c r="L61" s="142" t="n">
        <v>27944.25</v>
      </c>
      <c r="M61" s="142" t="n">
        <v>19114.75</v>
      </c>
      <c r="N61" s="142" t="n">
        <v>10045</v>
      </c>
    </row>
    <row r="62" ht="22" customHeight="1" s="105">
      <c r="A62" s="112" t="inlineStr">
        <is>
          <t xml:space="preserve">   Capital Invertido Reconstituido Promedio ($M)</t>
        </is>
      </c>
      <c r="B62" s="131" t="inlineStr">
        <is>
          <t>Base de Capital</t>
        </is>
      </c>
      <c r="C62" s="112" t="inlineStr">
        <is>
          <t>Activos Operativos + Intangibles Prom.</t>
        </is>
      </c>
      <c r="D62" s="142" t="n">
        <v>267312.25</v>
      </c>
      <c r="E62" s="142" t="n">
        <v>245795.5</v>
      </c>
      <c r="F62" s="142" t="n">
        <v>247173.75</v>
      </c>
      <c r="G62" s="142" t="n">
        <v>247376</v>
      </c>
      <c r="H62" s="142" t="n">
        <v>245105.625</v>
      </c>
      <c r="I62" s="142" t="n">
        <v>239010.25</v>
      </c>
      <c r="J62" s="142" t="n">
        <v>229795.375</v>
      </c>
      <c r="K62" s="142" t="n">
        <v>244542</v>
      </c>
      <c r="L62" s="142" t="n">
        <v>269750.5</v>
      </c>
      <c r="M62" s="142" t="n">
        <v>257783.875</v>
      </c>
      <c r="N62" s="142" t="n">
        <v>235741</v>
      </c>
    </row>
    <row r="63" ht="22" customHeight="1" s="105">
      <c r="A63" s="112" t="inlineStr">
        <is>
          <t xml:space="preserve">   Costo Promedio Ponderado de Capital (WACC)</t>
        </is>
      </c>
      <c r="B63" s="131" t="inlineStr">
        <is>
          <t>Tasa de Corte</t>
        </is>
      </c>
      <c r="C63" s="112" t="inlineStr">
        <is>
          <t>Costo Ponderado Equity + Deuda</t>
        </is>
      </c>
      <c r="D63" s="126" t="n">
        <v>0.1002171246337397</v>
      </c>
      <c r="E63" s="126" t="n">
        <v>0.1002171246337397</v>
      </c>
      <c r="F63" s="126" t="n">
        <v>0.1002171246337397</v>
      </c>
      <c r="G63" s="126" t="n">
        <v>0.1002171246337397</v>
      </c>
      <c r="H63" s="126" t="n">
        <v>0.1002171246337397</v>
      </c>
      <c r="I63" s="126" t="n">
        <v>0.1002171246337397</v>
      </c>
      <c r="J63" s="126" t="n">
        <v>0.1002171246337397</v>
      </c>
      <c r="K63" s="126" t="n">
        <v>0.1002171246337397</v>
      </c>
      <c r="L63" s="126" t="n">
        <v>0.1002171246337397</v>
      </c>
      <c r="M63" s="126" t="n">
        <v>0.1002171246337397</v>
      </c>
      <c r="N63" s="126" t="n">
        <v>0.1002171246337397</v>
      </c>
    </row>
    <row r="64" ht="22" customHeight="1" s="105">
      <c r="A64" s="138" t="inlineStr">
        <is>
          <t xml:space="preserve">   Spread Económico Neto (ROIC Adj - WACC)</t>
        </is>
      </c>
      <c r="B64" s="131" t="inlineStr">
        <is>
          <t>Creación de Valor</t>
        </is>
      </c>
      <c r="C64" s="112" t="inlineStr">
        <is>
          <t>Excedente sobre Costo de Capital</t>
        </is>
      </c>
      <c r="D64" s="144" t="n">
        <v>0.4269344531412419</v>
      </c>
      <c r="E64" s="144" t="n">
        <v>0.3812661530285141</v>
      </c>
      <c r="F64" s="144" t="n">
        <v>0.3001829769410933</v>
      </c>
      <c r="G64" s="144" t="n">
        <v>0.3253061891516655</v>
      </c>
      <c r="H64" s="144" t="n">
        <v>0.3370694804269651</v>
      </c>
      <c r="I64" s="144" t="n">
        <v>0.3193474775570714</v>
      </c>
      <c r="J64" s="144" t="n">
        <v>0.1679738678523941</v>
      </c>
      <c r="K64" s="140" t="n">
        <v>0.1444542929762963</v>
      </c>
      <c r="L64" s="140" t="n">
        <v>0.1411308538787299</v>
      </c>
      <c r="M64" s="140" t="n">
        <v>0.1058571081889321</v>
      </c>
      <c r="N64" s="140" t="n">
        <v>0.1210481000219444</v>
      </c>
    </row>
    <row r="65" ht="10" customHeight="1" s="105"/>
    <row r="66" ht="10" customHeight="1" s="105"/>
    <row r="67" ht="22" customHeight="1" s="105">
      <c r="A67" s="124" t="inlineStr">
        <is>
          <t>AUDITORÍA DE MERCADO EN TIEMPO REAL &amp; FOSO DEFENSIVO</t>
        </is>
      </c>
      <c r="B67" s="125" t="n"/>
      <c r="C67" s="125" t="n"/>
      <c r="D67" s="125" t="n"/>
      <c r="E67" s="125" t="n"/>
      <c r="F67" s="125" t="n"/>
      <c r="G67" s="125" t="n"/>
      <c r="H67" s="125" t="n"/>
      <c r="I67" s="125" t="n"/>
      <c r="J67" s="125" t="n"/>
      <c r="K67" s="125" t="n"/>
      <c r="L67" s="125" t="n"/>
      <c r="M67" s="125" t="n"/>
      <c r="N67" s="125" t="n"/>
    </row>
    <row r="68" ht="18.5" customHeight="1" s="105">
      <c r="A68" s="138" t="inlineStr">
        <is>
          <t xml:space="preserve">   Dictamen de Foso Defensivo (Moat)</t>
        </is>
      </c>
      <c r="B68" s="145" t="inlineStr">
        <is>
          <t>🏰 WIDE MOAT / COMPOUNDING MACHINE</t>
        </is>
      </c>
      <c r="C68" s="138" t="inlineStr">
        <is>
          <t>Ke: 10.12% | Kd: 4.13%</t>
        </is>
      </c>
      <c r="D68" s="112" t="inlineStr">
        <is>
          <t>Precio: $336.13 | Market Cap: $4,958,019.0M</t>
        </is>
      </c>
    </row>
    <row r="69" ht="18.5" customHeight="1" s="105">
      <c r="A69" s="138" t="inlineStr">
        <is>
          <t xml:space="preserve">   Parámetros Macro y Validación</t>
        </is>
      </c>
      <c r="B69" s="112" t="inlineStr">
        <is>
          <t>Rf (Bono 10Y): 5.00% | Beta: 1.08</t>
        </is>
      </c>
      <c r="C69" s="131" t="inlineStr">
        <is>
          <t>Sensibilidad N-1 (3a): 55.07%</t>
        </is>
      </c>
      <c r="D69" s="131" t="inlineStr">
        <is>
          <t>Sensibilidad N+1 (5a): 50.80%</t>
        </is>
      </c>
    </row>
  </sheetData>
  <mergeCells count="2">
    <mergeCell ref="C5:N5"/>
    <mergeCell ref="E4:N4"/>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T28"/>
  <sheetViews>
    <sheetView showGridLines="1" workbookViewId="0">
      <pane xSplit="2" ySplit="6" topLeftCell="C7" activePane="bottomRight" state="frozen"/>
      <selection pane="topRight"/>
      <selection pane="bottomLeft"/>
      <selection pane="bottomRight" activeCell="A1" sqref="A1"/>
    </sheetView>
  </sheetViews>
  <sheetFormatPr baseColWidth="8" defaultRowHeight="15"/>
  <cols>
    <col width="12" customWidth="1" style="105" min="1" max="1"/>
    <col width="28" customWidth="1" style="105" min="2" max="2"/>
    <col width="15" customWidth="1" style="105" min="3" max="3"/>
    <col width="15" customWidth="1" style="105" min="4" max="4"/>
    <col width="15" customWidth="1" style="105" min="5" max="5"/>
    <col width="15" customWidth="1" style="105" min="6" max="6"/>
    <col width="15" customWidth="1" style="105" min="7" max="7"/>
    <col width="15" customWidth="1" style="105" min="8" max="8"/>
    <col width="15" customWidth="1" style="105" min="9" max="9"/>
    <col width="15" customWidth="1" style="105" min="10" max="10"/>
    <col width="15" customWidth="1" style="105" min="11" max="11"/>
    <col width="15" customWidth="1" style="105" min="12" max="12"/>
    <col width="15" customWidth="1" style="105" min="13" max="13"/>
    <col width="15" customWidth="1" style="105" min="14" max="14"/>
    <col width="15" customWidth="1" style="105" min="15" max="15"/>
    <col width="15" customWidth="1" style="105" min="16" max="16"/>
    <col width="15" customWidth="1" style="105" min="17" max="17"/>
    <col width="15" customWidth="1" style="105" min="18" max="18"/>
    <col width="15" customWidth="1" style="105" min="19" max="19"/>
    <col width="15" customWidth="1" style="105" min="20" max="20"/>
  </cols>
  <sheetData>
    <row r="1" ht="30" customHeight="1" s="105">
      <c r="A1" s="107" t="inlineStr">
        <is>
          <t>Apple Inc. (AAPL) - Análisis de Pares y Distribución Sectorial (SIC 3571)</t>
        </is>
      </c>
    </row>
    <row r="2" ht="18" customHeight="1" s="105">
      <c r="A2" s="108" t="inlineStr">
        <is>
          <t>Auditoría Contable del Grupo de Pares y Cálculo Estadístico de Medianas Oficiales para el Mohanram G-Score | Base: LTM (Últimos 12 Meses Móviles / FY2026 Auditado)</t>
        </is>
      </c>
    </row>
    <row r="3" ht="8" customHeight="1" s="105"/>
    <row r="4" ht="22" customHeight="1" s="105">
      <c r="A4" s="124" t="inlineStr">
        <is>
          <t>GRUPO DE PARES COMPARABLES</t>
        </is>
      </c>
      <c r="B4" s="128" t="inlineStr">
        <is>
          <t>Industria: Computer Storage &amp; Hardware Devices / Technology Hardware</t>
        </is>
      </c>
      <c r="C4" s="128" t="inlineStr">
        <is>
          <t>Empresas Auditadas: 8</t>
        </is>
      </c>
      <c r="D4" s="146" t="inlineStr">
        <is>
          <t>Fuente: SEC EDGAR Form 10-K, 10-Q &amp; 8-K Audited Reports</t>
        </is>
      </c>
      <c r="E4" s="125" t="n"/>
      <c r="F4" s="125" t="n"/>
      <c r="G4" s="125" t="n"/>
      <c r="H4" s="125" t="n"/>
      <c r="I4" s="125" t="n"/>
      <c r="J4" s="125" t="n"/>
      <c r="K4" s="125" t="n"/>
      <c r="L4" s="125" t="n"/>
      <c r="M4" s="125" t="n"/>
      <c r="N4" s="125" t="n"/>
      <c r="O4" s="125" t="n"/>
      <c r="P4" s="125" t="n"/>
      <c r="Q4" s="125" t="n"/>
      <c r="R4" s="125" t="n"/>
      <c r="S4" s="125" t="n"/>
      <c r="T4" s="125" t="n"/>
    </row>
    <row r="5" ht="10" customHeight="1" s="105"/>
    <row r="6" ht="25" customHeight="1" s="105">
      <c r="A6" s="147" t="inlineStr">
        <is>
          <t>Ticker</t>
        </is>
      </c>
      <c r="B6" s="147" t="inlineStr">
        <is>
          <t>Empresa Competidora</t>
        </is>
      </c>
      <c r="C6" s="147" t="inlineStr">
        <is>
          <t>Ingresos LTM ($M)</t>
        </is>
      </c>
      <c r="D6" s="147" t="inlineStr">
        <is>
          <t>Activos Totales LTM ($M)</t>
        </is>
      </c>
      <c r="E6" s="147" t="inlineStr">
        <is>
          <t>Gasto I+D LTM ($M)</t>
        </is>
      </c>
      <c r="F6" s="147" t="inlineStr">
        <is>
          <t>Intensidad I+D (I+D/Act)</t>
        </is>
      </c>
      <c r="G6" s="147" t="inlineStr">
        <is>
          <t>CapEx LTM ($M)</t>
        </is>
      </c>
      <c r="H6" s="147" t="inlineStr">
        <is>
          <t>Inversión Total ((I+D+CapEx)/Act)</t>
        </is>
      </c>
      <c r="I6" s="147" t="inlineStr">
        <is>
          <t>Utilidad Neta LTM ($M)</t>
        </is>
      </c>
      <c r="J6" s="147" t="inlineStr">
        <is>
          <t>ROA LTM (%)</t>
        </is>
      </c>
      <c r="K6" s="147" t="inlineStr">
        <is>
          <t>Flujo Operativo CFO LTM ($M)</t>
        </is>
      </c>
      <c r="L6" s="147" t="inlineStr">
        <is>
          <t>CFROA LTM (%)</t>
        </is>
      </c>
      <c r="M6" s="147" t="inlineStr">
        <is>
          <t>Gastos SG&amp;A LTM ($M)</t>
        </is>
      </c>
      <c r="N6" s="147" t="inlineStr">
        <is>
          <t>Utilidad Bruta LTM ($M)</t>
        </is>
      </c>
      <c r="O6" s="147" t="inlineStr">
        <is>
          <t>GP / Activos (%) [Novy-Marx]</t>
        </is>
      </c>
      <c r="P6" s="147" t="inlineStr">
        <is>
          <t>GP / Activos Ex-Caja (%)</t>
        </is>
      </c>
      <c r="Q6" s="147" t="inlineStr">
        <is>
          <t>ROIC Ajustado (%)</t>
        </is>
      </c>
      <c r="R6" s="147" t="inlineStr">
        <is>
          <t>WACC (%)</t>
        </is>
      </c>
      <c r="S6" s="147" t="inlineStr">
        <is>
          <t>Spread Económico (%)</t>
        </is>
      </c>
      <c r="T6" s="147" t="inlineStr">
        <is>
          <t>ROC Greenblatt (%)</t>
        </is>
      </c>
    </row>
    <row r="7" ht="22" customHeight="1" s="105">
      <c r="A7" s="148" t="inlineStr">
        <is>
          <t>AAPL</t>
        </is>
      </c>
      <c r="B7" s="149" t="inlineStr">
        <is>
          <t>Apple Inc.</t>
        </is>
      </c>
      <c r="C7" s="150" t="n">
        <v>466823</v>
      </c>
      <c r="D7" s="150" t="n">
        <v>383266</v>
      </c>
      <c r="E7" s="150" t="n">
        <v>42901</v>
      </c>
      <c r="F7" s="151">
        <f>IF(D7&gt;0, E7/D7, 0)</f>
        <v/>
      </c>
      <c r="G7" s="150" t="n">
        <v>15389</v>
      </c>
      <c r="H7" s="151">
        <f>IF(D7&gt;0, (E7+G7)/D7, 0)</f>
        <v/>
      </c>
      <c r="I7" s="150" t="n">
        <v>128930</v>
      </c>
      <c r="J7" s="151">
        <f>IF(D7&gt;0, I7/D7, 0)</f>
        <v/>
      </c>
      <c r="K7" s="150" t="n">
        <v>146724</v>
      </c>
      <c r="L7" s="151">
        <f>IF(D7&gt;0, K7/D7, 0)</f>
        <v/>
      </c>
      <c r="M7" s="150" t="n">
        <v>29363</v>
      </c>
      <c r="N7" s="150" t="n">
        <v>227123</v>
      </c>
      <c r="O7" s="151">
        <f>IF(D7&gt;0, N7/D7, 0)</f>
        <v/>
      </c>
      <c r="P7" s="151" t="n">
        <v>0.6607752776953468</v>
      </c>
      <c r="Q7" s="151" t="n">
        <v>0.5271515777749817</v>
      </c>
      <c r="R7" s="151" t="n">
        <v>0.1002171246337397</v>
      </c>
      <c r="S7" s="152">
        <f>Q7-R7</f>
        <v/>
      </c>
      <c r="T7" s="151" t="n">
        <v>3.058490100232064</v>
      </c>
    </row>
    <row r="8" ht="18.5" customHeight="1" s="105">
      <c r="A8" s="153" t="inlineStr">
        <is>
          <t>DELL</t>
        </is>
      </c>
      <c r="B8" s="154" t="inlineStr">
        <is>
          <t>Dell Technologies Inc.</t>
        </is>
      </c>
      <c r="C8" s="142" t="n">
        <v>151197</v>
      </c>
      <c r="D8" s="142" t="n">
        <v>127393</v>
      </c>
      <c r="E8" s="142" t="n">
        <v>3641</v>
      </c>
      <c r="F8" s="126">
        <f>IF(D8&gt;0, E8/D8, 0)</f>
        <v/>
      </c>
      <c r="G8" s="142" t="n">
        <v>3592</v>
      </c>
      <c r="H8" s="126">
        <f>IF(D8&gt;0, (E8+G8)/D8, 0)</f>
        <v/>
      </c>
      <c r="I8" s="142" t="n">
        <v>11378</v>
      </c>
      <c r="J8" s="126">
        <f>IF(D8&gt;0, I8/D8, 0)</f>
        <v/>
      </c>
      <c r="K8" s="142" t="n">
        <v>12152</v>
      </c>
      <c r="L8" s="126">
        <f>IF(D8&gt;0, K8/D8, 0)</f>
        <v/>
      </c>
      <c r="M8" s="142" t="n">
        <v>12042</v>
      </c>
      <c r="N8" s="142" t="n">
        <v>35400</v>
      </c>
      <c r="O8" s="126">
        <f>IF(D8&gt;0, N8/D8, 0)</f>
        <v/>
      </c>
      <c r="P8" s="126" t="n">
        <v>0.2947715520471634</v>
      </c>
      <c r="Q8" s="126" t="n">
        <v>0.165</v>
      </c>
      <c r="R8" s="126" t="n">
        <v>0.089</v>
      </c>
      <c r="S8" s="155">
        <f>Q8-R8</f>
        <v/>
      </c>
      <c r="T8" s="126" t="n">
        <v>0.352</v>
      </c>
    </row>
    <row r="9" ht="18.5" customHeight="1" s="105">
      <c r="A9" s="153" t="inlineStr">
        <is>
          <t>HPQ</t>
        </is>
      </c>
      <c r="B9" s="154" t="inlineStr">
        <is>
          <t>HP Inc.</t>
        </is>
      </c>
      <c r="C9" s="142" t="n">
        <v>59162</v>
      </c>
      <c r="D9" s="142" t="n">
        <v>45701</v>
      </c>
      <c r="E9" s="142" t="n">
        <v>1611</v>
      </c>
      <c r="F9" s="126">
        <f>IF(D9&gt;0, E9/D9, 0)</f>
        <v/>
      </c>
      <c r="G9" s="142" t="n">
        <v>787</v>
      </c>
      <c r="H9" s="126">
        <f>IF(D9&gt;0, (E9+G9)/D9, 0)</f>
        <v/>
      </c>
      <c r="I9" s="142" t="n">
        <v>2451</v>
      </c>
      <c r="J9" s="126">
        <f>IF(D9&gt;0, I9/D9, 0)</f>
        <v/>
      </c>
      <c r="K9" s="142" t="n">
        <v>4668</v>
      </c>
      <c r="L9" s="126">
        <f>IF(D9&gt;0, K9/D9, 0)</f>
        <v/>
      </c>
      <c r="M9" s="142" t="n">
        <v>5985</v>
      </c>
      <c r="N9" s="142" t="n">
        <v>13311</v>
      </c>
      <c r="O9" s="126">
        <f>IF(D9&gt;0, N9/D9, 0)</f>
        <v/>
      </c>
      <c r="P9" s="126" t="n">
        <v>0.3131926307616291</v>
      </c>
      <c r="Q9" s="126" t="n">
        <v>0.201</v>
      </c>
      <c r="R9" s="126" t="n">
        <v>0.08500000000000001</v>
      </c>
      <c r="S9" s="155">
        <f>Q9-R9</f>
        <v/>
      </c>
      <c r="T9" s="126" t="n">
        <v>0.428</v>
      </c>
    </row>
    <row r="10" ht="18.5" customHeight="1" s="105">
      <c r="A10" s="153" t="inlineStr">
        <is>
          <t>HPE</t>
        </is>
      </c>
      <c r="B10" s="154" t="inlineStr">
        <is>
          <t>Hewlett Packard Enterprise Co.</t>
        </is>
      </c>
      <c r="C10" s="142" t="n">
        <v>41871</v>
      </c>
      <c r="D10" s="142" t="n">
        <v>83596</v>
      </c>
      <c r="E10" s="142" t="n">
        <v>3705</v>
      </c>
      <c r="F10" s="126">
        <f>IF(D10&gt;0, E10/D10, 0)</f>
        <v/>
      </c>
      <c r="G10" s="142" t="n">
        <v>2538</v>
      </c>
      <c r="H10" s="126">
        <f>IF(D10&gt;0, (E10+G10)/D10, 0)</f>
        <v/>
      </c>
      <c r="I10" s="142" t="n">
        <v>2791</v>
      </c>
      <c r="J10" s="126">
        <f>IF(D10&gt;0, I10/D10, 0)</f>
        <v/>
      </c>
      <c r="K10" s="142" t="n">
        <v>6694</v>
      </c>
      <c r="L10" s="126">
        <f>IF(D10&gt;0, K10/D10, 0)</f>
        <v/>
      </c>
      <c r="M10" s="142" t="n">
        <v>7132</v>
      </c>
      <c r="N10" s="142" t="n">
        <v>15366</v>
      </c>
      <c r="O10" s="126">
        <f>IF(D10&gt;0, N10/D10, 0)</f>
        <v/>
      </c>
      <c r="P10" s="126" t="n">
        <v>0.1908914728682171</v>
      </c>
      <c r="Q10" s="126" t="n">
        <v>0.08799999999999999</v>
      </c>
      <c r="R10" s="126" t="n">
        <v>0.08400000000000001</v>
      </c>
      <c r="S10" s="155">
        <f>Q10-R10</f>
        <v/>
      </c>
      <c r="T10" s="126" t="n">
        <v>0.194</v>
      </c>
    </row>
    <row r="11" ht="18.5" customHeight="1" s="105">
      <c r="A11" s="153" t="inlineStr">
        <is>
          <t>SMCI</t>
        </is>
      </c>
      <c r="B11" s="154" t="inlineStr">
        <is>
          <t>Super Micro Computer Inc.</t>
        </is>
      </c>
      <c r="C11" s="142" t="n">
        <v>39063.1</v>
      </c>
      <c r="D11" s="142" t="n">
        <v>29945.5</v>
      </c>
      <c r="E11" s="142" t="n">
        <v>771.2</v>
      </c>
      <c r="F11" s="126">
        <f>IF(D11&gt;0, E11/D11, 0)</f>
        <v/>
      </c>
      <c r="G11" s="142" t="n">
        <v>162</v>
      </c>
      <c r="H11" s="126">
        <f>IF(D11&gt;0, (E11+G11)/D11, 0)</f>
        <v/>
      </c>
      <c r="I11" s="142" t="n">
        <v>2230.5</v>
      </c>
      <c r="J11" s="126">
        <f>IF(D11&gt;0, I11/D11, 0)</f>
        <v/>
      </c>
      <c r="K11" s="142" t="n">
        <v>-6809.9</v>
      </c>
      <c r="L11" s="126">
        <f>IF(D11&gt;0, K11/D11, 0)</f>
        <v/>
      </c>
      <c r="M11" s="142" t="n">
        <v>352.6</v>
      </c>
      <c r="N11" s="142" t="n">
        <v>4375</v>
      </c>
      <c r="O11" s="126">
        <f>IF(D11&gt;0, N11/D11, 0)</f>
        <v/>
      </c>
      <c r="P11" s="126" t="n">
        <v>0.1571169488786339</v>
      </c>
      <c r="Q11" s="126" t="n">
        <v>0.22</v>
      </c>
      <c r="R11" s="126" t="n">
        <v>0.112</v>
      </c>
      <c r="S11" s="155">
        <f>Q11-R11</f>
        <v/>
      </c>
      <c r="T11" s="126" t="n">
        <v>0.245</v>
      </c>
    </row>
    <row r="12" ht="18.5" customHeight="1" s="105">
      <c r="A12" s="153" t="inlineStr">
        <is>
          <t>WDC</t>
        </is>
      </c>
      <c r="B12" s="154" t="inlineStr">
        <is>
          <t>Western Digital Corp.</t>
        </is>
      </c>
      <c r="C12" s="142" t="n">
        <v>12919</v>
      </c>
      <c r="D12" s="142" t="n">
        <v>13861</v>
      </c>
      <c r="E12" s="142" t="n">
        <v>1161</v>
      </c>
      <c r="F12" s="126">
        <f>IF(D12&gt;0, E12/D12, 0)</f>
        <v/>
      </c>
      <c r="G12" s="142" t="n">
        <v>418</v>
      </c>
      <c r="H12" s="126">
        <f>IF(D12&gt;0, (E12+G12)/D12, 0)</f>
        <v/>
      </c>
      <c r="I12" s="142" t="n">
        <v>9424</v>
      </c>
      <c r="J12" s="126">
        <f>IF(D12&gt;0, I12/D12, 0)</f>
        <v/>
      </c>
      <c r="K12" s="142" t="n">
        <v>3929</v>
      </c>
      <c r="L12" s="126">
        <f>IF(D12&gt;0, K12/D12, 0)</f>
        <v/>
      </c>
      <c r="M12" s="142" t="n">
        <v>551</v>
      </c>
      <c r="N12" s="142" t="n">
        <v>2338</v>
      </c>
      <c r="O12" s="126">
        <f>IF(D12&gt;0, N12/D12, 0)</f>
        <v/>
      </c>
      <c r="P12" s="126" t="n">
        <v>0.1938479396401625</v>
      </c>
      <c r="Q12" s="126" t="n">
        <v>0.075</v>
      </c>
      <c r="R12" s="126" t="n">
        <v>0.096</v>
      </c>
      <c r="S12" s="155">
        <f>Q12-R12</f>
        <v/>
      </c>
      <c r="T12" s="126" t="n">
        <v>0.152</v>
      </c>
    </row>
    <row r="13" ht="18.5" customHeight="1" s="105">
      <c r="A13" s="153" t="inlineStr">
        <is>
          <t>STX</t>
        </is>
      </c>
      <c r="B13" s="154" t="inlineStr">
        <is>
          <t>Seagate Technology Holdings plc</t>
        </is>
      </c>
      <c r="C13" s="142" t="n">
        <v>12195</v>
      </c>
      <c r="D13" s="142" t="n">
        <v>9972</v>
      </c>
      <c r="E13" s="142" t="n">
        <v>755</v>
      </c>
      <c r="F13" s="126">
        <f>IF(D13&gt;0, E13/D13, 0)</f>
        <v/>
      </c>
      <c r="G13" s="142" t="n">
        <v>569</v>
      </c>
      <c r="H13" s="126">
        <f>IF(D13&gt;0, (E13+G13)/D13, 0)</f>
        <v/>
      </c>
      <c r="I13" s="142" t="n">
        <v>3184</v>
      </c>
      <c r="J13" s="126">
        <f>IF(D13&gt;0, I13/D13, 0)</f>
        <v/>
      </c>
      <c r="K13" s="142" t="n">
        <v>3674</v>
      </c>
      <c r="L13" s="126">
        <f>IF(D13&gt;0, K13/D13, 0)</f>
        <v/>
      </c>
      <c r="M13" s="142" t="n">
        <v>577</v>
      </c>
      <c r="N13" s="142" t="n">
        <v>2353</v>
      </c>
      <c r="O13" s="126">
        <f>IF(D13&gt;0, N13/D13, 0)</f>
        <v/>
      </c>
      <c r="P13" s="126" t="n">
        <v>0.2652164111812443</v>
      </c>
      <c r="Q13" s="126" t="n">
        <v>0.132</v>
      </c>
      <c r="R13" s="126" t="n">
        <v>0.091</v>
      </c>
      <c r="S13" s="155">
        <f>Q13-R13</f>
        <v/>
      </c>
      <c r="T13" s="126" t="n">
        <v>0.218</v>
      </c>
    </row>
    <row r="14" ht="18.5" customHeight="1" s="105">
      <c r="A14" s="153" t="inlineStr">
        <is>
          <t>NTAP</t>
        </is>
      </c>
      <c r="B14" s="154" t="inlineStr">
        <is>
          <t>NetApp Inc.</t>
        </is>
      </c>
      <c r="C14" s="142" t="n">
        <v>7391</v>
      </c>
      <c r="D14" s="142" t="n">
        <v>10955</v>
      </c>
      <c r="E14" s="142" t="n">
        <v>1023</v>
      </c>
      <c r="F14" s="126">
        <f>IF(D14&gt;0, E14/D14, 0)</f>
        <v/>
      </c>
      <c r="G14" s="142" t="n">
        <v>247</v>
      </c>
      <c r="H14" s="126">
        <f>IF(D14&gt;0, (E14+G14)/D14, 0)</f>
        <v/>
      </c>
      <c r="I14" s="142" t="n">
        <v>1418</v>
      </c>
      <c r="J14" s="126">
        <f>IF(D14&gt;0, I14/D14, 0)</f>
        <v/>
      </c>
      <c r="K14" s="142" t="n">
        <v>1897</v>
      </c>
      <c r="L14" s="126">
        <f>IF(D14&gt;0, K14/D14, 0)</f>
        <v/>
      </c>
      <c r="M14" s="142" t="n">
        <v>2273</v>
      </c>
      <c r="N14" s="142" t="n">
        <v>5247</v>
      </c>
      <c r="O14" s="126">
        <f>IF(D14&gt;0, N14/D14, 0)</f>
        <v/>
      </c>
      <c r="P14" s="126" t="n">
        <v>0.676595744680851</v>
      </c>
      <c r="Q14" s="126" t="n">
        <v>0.215</v>
      </c>
      <c r="R14" s="126" t="n">
        <v>0.08799999999999999</v>
      </c>
      <c r="S14" s="155">
        <f>Q14-R14</f>
        <v/>
      </c>
      <c r="T14" s="126" t="n">
        <v>0.385</v>
      </c>
    </row>
    <row r="15" ht="24" customHeight="1" s="105">
      <c r="A15" s="156" t="inlineStr">
        <is>
          <t>MEDIANA</t>
        </is>
      </c>
      <c r="B15" s="157" t="inlineStr">
        <is>
          <t>MEDIANA DEL SECTOR (Benchmark G-Score &amp; Novy-Marx)</t>
        </is>
      </c>
      <c r="C15" s="158">
        <f>MEDIAN(C7:C14)</f>
        <v/>
      </c>
      <c r="D15" s="158">
        <f>MEDIAN(D7:D14)</f>
        <v/>
      </c>
      <c r="E15" s="158">
        <f>MEDIAN(E7:E14)</f>
        <v/>
      </c>
      <c r="F15" s="159">
        <f>MEDIAN(F7:F14)</f>
        <v/>
      </c>
      <c r="G15" s="158">
        <f>MEDIAN(G7:G14)</f>
        <v/>
      </c>
      <c r="H15" s="159">
        <f>MEDIAN(H7:H14)</f>
        <v/>
      </c>
      <c r="I15" s="158">
        <f>MEDIAN(I7:I14)</f>
        <v/>
      </c>
      <c r="J15" s="159">
        <f>MEDIAN(J7:J14)</f>
        <v/>
      </c>
      <c r="K15" s="158">
        <f>MEDIAN(K7:K14)</f>
        <v/>
      </c>
      <c r="L15" s="159">
        <f>MEDIAN(L7:L14)</f>
        <v/>
      </c>
      <c r="M15" s="158">
        <f>MEDIAN(M7:M14)</f>
        <v/>
      </c>
      <c r="N15" s="158">
        <f>MEDIAN(N7:N14)</f>
        <v/>
      </c>
      <c r="O15" s="159">
        <f>MEDIAN(O7:O14)</f>
        <v/>
      </c>
      <c r="P15" s="159">
        <f>MEDIAN(P7:P14)</f>
        <v/>
      </c>
      <c r="Q15" s="159">
        <f>MEDIAN(Q7:Q14)</f>
        <v/>
      </c>
      <c r="R15" s="159">
        <f>MEDIAN(R7:R14)</f>
        <v/>
      </c>
      <c r="S15" s="160">
        <f>MEDIAN(S7:S14)</f>
        <v/>
      </c>
      <c r="T15" s="159">
        <f>MEDIAN(T7:T14)</f>
        <v/>
      </c>
    </row>
    <row r="16" ht="22" customHeight="1" s="105">
      <c r="A16" s="137" t="inlineStr">
        <is>
          <t>PROMEDIO</t>
        </is>
      </c>
      <c r="B16" s="161" t="inlineStr">
        <is>
          <t>PROMEDIO DEL SECTOR (Media Aritmética)</t>
        </is>
      </c>
      <c r="C16" s="162">
        <f>AVERAGE(C7:C14)</f>
        <v/>
      </c>
      <c r="D16" s="162">
        <f>AVERAGE(D7:D14)</f>
        <v/>
      </c>
      <c r="E16" s="162">
        <f>AVERAGE(E7:E14)</f>
        <v/>
      </c>
      <c r="F16" s="143">
        <f>AVERAGE(F7:F14)</f>
        <v/>
      </c>
      <c r="G16" s="162">
        <f>AVERAGE(G7:G14)</f>
        <v/>
      </c>
      <c r="H16" s="143">
        <f>AVERAGE(H7:H14)</f>
        <v/>
      </c>
      <c r="I16" s="162">
        <f>AVERAGE(I7:I14)</f>
        <v/>
      </c>
      <c r="J16" s="143">
        <f>AVERAGE(J7:J14)</f>
        <v/>
      </c>
      <c r="K16" s="162">
        <f>AVERAGE(K7:K14)</f>
        <v/>
      </c>
      <c r="L16" s="143">
        <f>AVERAGE(L7:L14)</f>
        <v/>
      </c>
      <c r="M16" s="162">
        <f>AVERAGE(M7:M14)</f>
        <v/>
      </c>
      <c r="N16" s="162">
        <f>AVERAGE(N7:N14)</f>
        <v/>
      </c>
      <c r="O16" s="143">
        <f>AVERAGE(O7:O14)</f>
        <v/>
      </c>
      <c r="P16" s="143">
        <f>AVERAGE(P7:P14)</f>
        <v/>
      </c>
      <c r="Q16" s="143">
        <f>AVERAGE(Q7:Q14)</f>
        <v/>
      </c>
      <c r="R16" s="143">
        <f>AVERAGE(R7:R14)</f>
        <v/>
      </c>
      <c r="S16" s="140">
        <f>AVERAGE(S7:S14)</f>
        <v/>
      </c>
      <c r="T16" s="143">
        <f>AVERAGE(T7:T14)</f>
        <v/>
      </c>
    </row>
    <row r="17" ht="22" customHeight="1" s="105">
      <c r="A17" s="163" t="inlineStr">
        <is>
          <t>P75 LÍDER</t>
        </is>
      </c>
      <c r="B17" s="164" t="inlineStr">
        <is>
          <t>PERCENTIL 75 SUPERIOR (Cláusula Líder G4)</t>
        </is>
      </c>
      <c r="C17" s="165">
        <f>PERCENTILE(C7:C14, 0.75)</f>
        <v/>
      </c>
      <c r="D17" s="165">
        <f>PERCENTILE(D7:D14, 0.75)</f>
        <v/>
      </c>
      <c r="E17" s="165">
        <f>PERCENTILE(E7:E14, 0.75)</f>
        <v/>
      </c>
      <c r="F17" s="166">
        <f>PERCENTILE(F7:F14, 0.75)</f>
        <v/>
      </c>
      <c r="G17" s="165">
        <f>PERCENTILE(G7:G14, 0.75)</f>
        <v/>
      </c>
      <c r="H17" s="166">
        <f>PERCENTILE(H7:H14, 0.75)</f>
        <v/>
      </c>
      <c r="I17" s="165">
        <f>PERCENTILE(I7:I14, 0.75)</f>
        <v/>
      </c>
      <c r="J17" s="166">
        <f>PERCENTILE(J7:J14, 0.75)</f>
        <v/>
      </c>
      <c r="K17" s="165">
        <f>PERCENTILE(K7:K14, 0.75)</f>
        <v/>
      </c>
      <c r="L17" s="166">
        <f>PERCENTILE(L7:L14, 0.75)</f>
        <v/>
      </c>
      <c r="M17" s="165">
        <f>PERCENTILE(M7:M14, 0.75)</f>
        <v/>
      </c>
      <c r="N17" s="165">
        <f>PERCENTILE(N7:N14, 0.75)</f>
        <v/>
      </c>
      <c r="O17" s="166">
        <f>PERCENTILE(O7:O14, 0.75)</f>
        <v/>
      </c>
      <c r="P17" s="166">
        <f>PERCENTILE(P7:P14, 0.75)</f>
        <v/>
      </c>
      <c r="Q17" s="166">
        <f>PERCENTILE(Q7:Q14, 0.75)</f>
        <v/>
      </c>
      <c r="R17" s="166">
        <f>PERCENTILE(R7:R14, 0.75)</f>
        <v/>
      </c>
      <c r="S17" s="167">
        <f>PERCENTILE(S7:S14, 0.75)</f>
        <v/>
      </c>
      <c r="T17" s="166">
        <f>PERCENTILE(T7:T14, 0.75)</f>
        <v/>
      </c>
    </row>
    <row r="18" ht="18.5" customHeight="1" s="105">
      <c r="A18" s="153" t="inlineStr">
        <is>
          <t>MÁXIMO</t>
        </is>
      </c>
      <c r="B18" s="154" t="inlineStr">
        <is>
          <t>MÁXIMO DEL SECTOR</t>
        </is>
      </c>
      <c r="C18" s="142">
        <f>MAX(C7:C14)</f>
        <v/>
      </c>
      <c r="D18" s="142">
        <f>MAX(D7:D14)</f>
        <v/>
      </c>
      <c r="E18" s="142">
        <f>MAX(E7:E14)</f>
        <v/>
      </c>
      <c r="F18" s="126">
        <f>MAX(F7:F14)</f>
        <v/>
      </c>
      <c r="G18" s="142">
        <f>MAX(G7:G14)</f>
        <v/>
      </c>
      <c r="H18" s="126">
        <f>MAX(H7:H14)</f>
        <v/>
      </c>
      <c r="I18" s="142">
        <f>MAX(I7:I14)</f>
        <v/>
      </c>
      <c r="J18" s="126">
        <f>MAX(J7:J14)</f>
        <v/>
      </c>
      <c r="K18" s="142">
        <f>MAX(K7:K14)</f>
        <v/>
      </c>
      <c r="L18" s="126">
        <f>MAX(L7:L14)</f>
        <v/>
      </c>
      <c r="M18" s="142">
        <f>MAX(M7:M14)</f>
        <v/>
      </c>
      <c r="N18" s="142">
        <f>MAX(N7:N14)</f>
        <v/>
      </c>
      <c r="O18" s="126">
        <f>MAX(O7:O14)</f>
        <v/>
      </c>
      <c r="P18" s="126">
        <f>MAX(P7:P14)</f>
        <v/>
      </c>
      <c r="Q18" s="126">
        <f>MAX(Q7:Q14)</f>
        <v/>
      </c>
      <c r="R18" s="126">
        <f>MAX(R7:R14)</f>
        <v/>
      </c>
      <c r="S18" s="155">
        <f>MAX(S7:S14)</f>
        <v/>
      </c>
      <c r="T18" s="126">
        <f>MAX(T7:T14)</f>
        <v/>
      </c>
    </row>
    <row r="19" ht="18.5" customHeight="1" s="105">
      <c r="A19" s="153" t="inlineStr">
        <is>
          <t>MÍNIMO</t>
        </is>
      </c>
      <c r="B19" s="154" t="inlineStr">
        <is>
          <t>MÍNIMO DEL SECTOR</t>
        </is>
      </c>
      <c r="C19" s="142">
        <f>MIN(C7:C14)</f>
        <v/>
      </c>
      <c r="D19" s="142">
        <f>MIN(D7:D14)</f>
        <v/>
      </c>
      <c r="E19" s="142">
        <f>MIN(E7:E14)</f>
        <v/>
      </c>
      <c r="F19" s="126">
        <f>MIN(F7:F14)</f>
        <v/>
      </c>
      <c r="G19" s="142">
        <f>MIN(G7:G14)</f>
        <v/>
      </c>
      <c r="H19" s="126">
        <f>MIN(H7:H14)</f>
        <v/>
      </c>
      <c r="I19" s="142">
        <f>MIN(I7:I14)</f>
        <v/>
      </c>
      <c r="J19" s="126">
        <f>MIN(J7:J14)</f>
        <v/>
      </c>
      <c r="K19" s="142">
        <f>MIN(K7:K14)</f>
        <v/>
      </c>
      <c r="L19" s="126">
        <f>MIN(L7:L14)</f>
        <v/>
      </c>
      <c r="M19" s="142">
        <f>MIN(M7:M14)</f>
        <v/>
      </c>
      <c r="N19" s="142">
        <f>MIN(N7:N14)</f>
        <v/>
      </c>
      <c r="O19" s="126">
        <f>MIN(O7:O14)</f>
        <v/>
      </c>
      <c r="P19" s="126">
        <f>MIN(P7:P14)</f>
        <v/>
      </c>
      <c r="Q19" s="126">
        <f>MIN(Q7:Q14)</f>
        <v/>
      </c>
      <c r="R19" s="126">
        <f>MIN(R7:R14)</f>
        <v/>
      </c>
      <c r="S19" s="155">
        <f>MIN(S7:S14)</f>
        <v/>
      </c>
      <c r="T19" s="126">
        <f>MIN(T7:T14)</f>
        <v/>
      </c>
    </row>
    <row r="20" ht="22" customHeight="1" s="105">
      <c r="A20" s="168" t="inlineStr">
        <is>
          <t>RANKING</t>
        </is>
      </c>
      <c r="B20" s="169" t="inlineStr">
        <is>
          <t>POSICIÓN / RANKING DE AAPL (# de 8)</t>
        </is>
      </c>
      <c r="C20" s="170">
        <f>RANK(C7, C7:C14)</f>
        <v/>
      </c>
      <c r="D20" s="170">
        <f>RANK(D7, D7:D14)</f>
        <v/>
      </c>
      <c r="E20" s="170">
        <f>RANK(E7, E7:E14)</f>
        <v/>
      </c>
      <c r="F20" s="170">
        <f>RANK(F7, F7:F14)</f>
        <v/>
      </c>
      <c r="G20" s="170">
        <f>RANK(G7, G7:G14)</f>
        <v/>
      </c>
      <c r="H20" s="170">
        <f>RANK(H7, H7:H14)</f>
        <v/>
      </c>
      <c r="I20" s="170">
        <f>RANK(I7, I7:I14)</f>
        <v/>
      </c>
      <c r="J20" s="170">
        <f>RANK(J7, J7:J14)</f>
        <v/>
      </c>
      <c r="K20" s="170">
        <f>RANK(K7, K7:K14)</f>
        <v/>
      </c>
      <c r="L20" s="170">
        <f>RANK(L7, L7:L14)</f>
        <v/>
      </c>
      <c r="M20" s="170">
        <f>RANK(M7, M7:M14)</f>
        <v/>
      </c>
      <c r="N20" s="170">
        <f>RANK(N7, N7:N14)</f>
        <v/>
      </c>
      <c r="O20" s="170">
        <f>RANK(O7, O7:O14)</f>
        <v/>
      </c>
      <c r="P20" s="170">
        <f>RANK(P7, P7:P14)</f>
        <v/>
      </c>
      <c r="Q20" s="170">
        <f>RANK(Q7, Q7:Q14)</f>
        <v/>
      </c>
      <c r="R20" s="170">
        <f>RANK(R7, R7:R14)</f>
        <v/>
      </c>
      <c r="S20" s="170">
        <f>RANK(S7, S7:S14)</f>
        <v/>
      </c>
      <c r="T20" s="170">
        <f>RANK(T7, T7:T14)</f>
        <v/>
      </c>
    </row>
    <row r="21" ht="10" customHeight="1" s="105"/>
    <row r="22" ht="10" customHeight="1" s="105"/>
    <row r="23" ht="22" customHeight="1" s="105">
      <c r="A23" s="124" t="inlineStr">
        <is>
          <t>CONEXIÓN AUDITABLE CON EL MOHANRAM G-SCORE</t>
        </is>
      </c>
      <c r="B23" s="125" t="n"/>
      <c r="C23" s="125" t="n"/>
      <c r="D23" s="125" t="n"/>
      <c r="E23" s="125" t="n"/>
      <c r="F23" s="125" t="n"/>
      <c r="G23" s="125" t="n"/>
      <c r="H23" s="125" t="n"/>
    </row>
    <row r="24" ht="40" customHeight="1" s="105">
      <c r="A24" s="138" t="inlineStr">
        <is>
          <t xml:space="preserve">   • Criterio G1 (ROA vs Mediana)</t>
        </is>
      </c>
      <c r="B24" s="154" t="inlineStr">
        <is>
          <t>La Utilidad Neta sobre Activos de AAPL supera la Mediana del Sector (calculada en la fila superior) -&gt; [PASA: 1 PTO]</t>
        </is>
      </c>
      <c r="C24" s="171" t="n"/>
      <c r="D24" s="171" t="n"/>
      <c r="E24" s="171" t="n"/>
      <c r="F24" s="171" t="n"/>
      <c r="G24" s="171" t="n"/>
      <c r="H24" s="171" t="n"/>
    </row>
    <row r="25" ht="40" customHeight="1" s="105">
      <c r="A25" s="138" t="inlineStr">
        <is>
          <t xml:space="preserve">   • Criterio G2 (CFROA vs Mediana)</t>
        </is>
      </c>
      <c r="B25" s="154" t="inlineStr">
        <is>
          <t>El Flujo de Caja Operativo sobre Activos de AAPL supera la Mediana del Sector (calculada en la fila superior) -&gt; [PASA: 1 PTO]</t>
        </is>
      </c>
      <c r="C25" s="171" t="n"/>
      <c r="D25" s="171" t="n"/>
      <c r="E25" s="171" t="n"/>
      <c r="F25" s="171" t="n"/>
      <c r="G25" s="171" t="n"/>
      <c r="H25" s="171" t="n"/>
    </row>
    <row r="26" ht="40" customHeight="1" s="105">
      <c r="A26" s="138" t="inlineStr">
        <is>
          <t xml:space="preserve">   • Criterio G4 (Estabilidad / P75)</t>
        </is>
      </c>
      <c r="B26" s="154" t="inlineStr">
        <is>
          <t>Si el ROA de AAPL supera el Percentil 75 Superior, aprueba de inmediato bajo la Cláusula Líder Institucional -&gt; [PASA: 1 PTO]</t>
        </is>
      </c>
      <c r="C26" s="171" t="n"/>
      <c r="D26" s="171" t="n"/>
      <c r="E26" s="171" t="n"/>
      <c r="F26" s="171" t="n"/>
      <c r="G26" s="171" t="n"/>
      <c r="H26" s="171" t="n"/>
    </row>
    <row r="27" ht="40" customHeight="1" s="105">
      <c r="A27" s="138" t="inlineStr">
        <is>
          <t xml:space="preserve">   • Criterio G6 (Intensidad en I+D)</t>
        </is>
      </c>
      <c r="B27" s="154" t="inlineStr">
        <is>
          <t>El gasto en I+D como porcentaje de los activos instalados supera a la Mediana de competidores del sector -&gt; [PASA: 1 PTO]</t>
        </is>
      </c>
      <c r="C27" s="171" t="n"/>
      <c r="D27" s="171" t="n"/>
      <c r="E27" s="171" t="n"/>
      <c r="F27" s="171" t="n"/>
      <c r="G27" s="171" t="n"/>
      <c r="H27" s="171" t="n"/>
    </row>
    <row r="28" ht="40" customHeight="1" s="105">
      <c r="A28" s="138" t="inlineStr">
        <is>
          <t xml:space="preserve">   • Criterio G7 (Reinversión Total)</t>
        </is>
      </c>
      <c r="B28" s="154" t="inlineStr">
        <is>
          <t>La Tasa de Inversión Total (CapEx + I+D) sobre Activos para modelos Asset-Light supera el umbral sectorial -&gt; [PASA: 1 PTO]</t>
        </is>
      </c>
      <c r="C28" s="171" t="n"/>
      <c r="D28" s="171" t="n"/>
      <c r="E28" s="171" t="n"/>
      <c r="F28" s="171" t="n"/>
      <c r="G28" s="171" t="n"/>
      <c r="H28" s="171" t="n"/>
    </row>
  </sheetData>
  <mergeCells count="5">
    <mergeCell ref="B26:H26"/>
    <mergeCell ref="B27:H27"/>
    <mergeCell ref="B24:H24"/>
    <mergeCell ref="B25:H25"/>
    <mergeCell ref="B28:H28"/>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N59"/>
  <sheetViews>
    <sheetView showGridLines="1" workbookViewId="0">
      <pane xSplit="3" ySplit="7" topLeftCell="D8" activePane="bottomRight" state="frozen"/>
      <selection pane="topRight"/>
      <selection pane="bottomLeft"/>
      <selection pane="bottomRight" activeCell="A1" sqref="A1"/>
    </sheetView>
  </sheetViews>
  <sheetFormatPr baseColWidth="8" defaultRowHeight="15"/>
  <cols>
    <col width="50" customWidth="1" style="105" min="1" max="1"/>
    <col width="22" customWidth="1" style="105" min="2" max="2"/>
    <col width="22" customWidth="1" style="105" min="3" max="3"/>
    <col width="14.5" customWidth="1" style="105" min="4" max="4"/>
    <col width="14.5" customWidth="1" style="105" min="5" max="5"/>
    <col width="14.5" customWidth="1" style="105" min="6" max="6"/>
    <col width="14.5" customWidth="1" style="105" min="7" max="7"/>
    <col width="14.5" customWidth="1" style="105" min="8" max="8"/>
    <col width="14.5" customWidth="1" style="105" min="9" max="9"/>
    <col width="14.5" customWidth="1" style="105" min="10" max="10"/>
    <col width="14.5" customWidth="1" style="105" min="11" max="11"/>
    <col width="14.5" customWidth="1" style="105" min="12" max="12"/>
    <col width="14.5" customWidth="1" style="105" min="13" max="13"/>
    <col width="14.5" customWidth="1" style="105" min="14" max="14"/>
  </cols>
  <sheetData>
    <row r="1" ht="30" customHeight="1" s="105">
      <c r="A1" s="107" t="inlineStr">
        <is>
          <t>Apple Inc. (AAPL) - Auditoría Forense Contable &amp; Calidad de Beneficios</t>
        </is>
      </c>
    </row>
    <row r="2" ht="18" customHeight="1" s="105">
      <c r="A2" s="108" t="inlineStr">
        <is>
          <t>Detección de Manipulación Contable: Ratio de Devengos Sloan, Divergencias de Alerta Temprana y Montier C-Score (0-6)</t>
        </is>
      </c>
    </row>
    <row r="3" ht="8" customHeight="1" s="105"/>
    <row r="4" ht="22" customHeight="1" s="105">
      <c r="A4" s="124" t="inlineStr">
        <is>
          <t>DICTAMEN FORENSE GENERAL</t>
        </is>
      </c>
      <c r="B4" s="128" t="inlineStr">
        <is>
          <t>Período: LTM</t>
        </is>
      </c>
      <c r="C4" s="128" t="inlineStr">
        <is>
          <t>Sloan: -4.79% [EXCELENTE]</t>
        </is>
      </c>
      <c r="D4" s="128" t="inlineStr">
        <is>
          <t>Montier C-Score: 1/6 [CONTABILIDAD CONSERVADORA]</t>
        </is>
      </c>
      <c r="E4" s="128" t="inlineStr">
        <is>
          <t>Estado Global: MÁXIMA CALIDAD CONTABLE</t>
        </is>
      </c>
      <c r="F4" s="125" t="n"/>
      <c r="G4" s="125" t="n"/>
      <c r="H4" s="125" t="n"/>
      <c r="I4" s="125" t="n"/>
      <c r="J4" s="125" t="n"/>
      <c r="K4" s="125" t="n"/>
      <c r="L4" s="125" t="n"/>
      <c r="M4" s="125" t="n"/>
      <c r="N4" s="125" t="n"/>
    </row>
    <row r="5" ht="56" customHeight="1" s="105">
      <c r="A5" s="129" t="inlineStr">
        <is>
          <t>VEREDICTO FORENSE:</t>
        </is>
      </c>
      <c r="B5" s="172" t="inlineStr">
        <is>
          <t>CALIDAD DE BENEFICIOS EXCEPCIONAL (GRADO INSTITUCIONAL): Conversión de efectivo sobresaliente (Ratio Sloan: -4.79%, CFO &gt; Utilidad Neta), devengos negativos que suprimen riesgo de inflación contable y Montier C-Score de 1/6 que descarta maniobras de manipulación deliberada.</t>
        </is>
      </c>
    </row>
    <row r="6" ht="10" customHeight="1" s="105"/>
    <row r="7" ht="22" customHeight="1" s="105">
      <c r="A7" s="124" t="inlineStr">
        <is>
          <t>TABLA 1: RATIO DE DEVENGOS DE SLOAN (SLOAN ACCRUAL ANOMALY - RICHARD SLOAN 1996)</t>
        </is>
      </c>
      <c r="B7" s="125" t="n"/>
      <c r="C7" s="125" t="n"/>
      <c r="D7" s="125" t="n"/>
      <c r="E7" s="125" t="n"/>
      <c r="F7" s="125" t="n"/>
      <c r="G7" s="125" t="n"/>
      <c r="H7" s="125" t="n"/>
      <c r="I7" s="125" t="n"/>
      <c r="J7" s="125" t="n"/>
      <c r="K7" s="125" t="n"/>
      <c r="L7" s="125" t="n"/>
      <c r="M7" s="125" t="n"/>
      <c r="N7" s="125" t="n"/>
    </row>
    <row r="8" ht="25" customHeight="1" s="105">
      <c r="A8" s="109" t="inlineStr">
        <is>
          <t>Componente Contable / Métrica Sloan</t>
        </is>
      </c>
      <c r="B8" s="111" t="inlineStr">
        <is>
          <t>Definición / Fórmula Contable</t>
        </is>
      </c>
      <c r="C8" s="111" t="inlineStr">
        <is>
          <t>Zona Óptima / Umbral</t>
        </is>
      </c>
      <c r="D8" s="110" t="inlineStr">
        <is>
          <t>LTM</t>
        </is>
      </c>
      <c r="E8" s="111" t="inlineStr">
        <is>
          <t>FY2025</t>
        </is>
      </c>
      <c r="F8" s="111" t="inlineStr">
        <is>
          <t>FY2024</t>
        </is>
      </c>
      <c r="G8" s="111" t="inlineStr">
        <is>
          <t>FY2023</t>
        </is>
      </c>
      <c r="H8" s="111" t="inlineStr">
        <is>
          <t>FY2022</t>
        </is>
      </c>
      <c r="I8" s="111" t="inlineStr">
        <is>
          <t>FY2021</t>
        </is>
      </c>
      <c r="J8" s="111" t="inlineStr">
        <is>
          <t>FY2020</t>
        </is>
      </c>
      <c r="K8" s="111" t="inlineStr">
        <is>
          <t>FY2019</t>
        </is>
      </c>
      <c r="L8" s="111" t="inlineStr">
        <is>
          <t>FY2018</t>
        </is>
      </c>
      <c r="M8" s="111" t="inlineStr">
        <is>
          <t>FY2017</t>
        </is>
      </c>
      <c r="N8" s="111" t="inlineStr">
        <is>
          <t>FY2016</t>
        </is>
      </c>
    </row>
    <row r="9" ht="18.5" customHeight="1" s="105">
      <c r="A9" s="112" t="inlineStr">
        <is>
          <t>(+) Utilidad Neta ($M) [Income Statement]</t>
        </is>
      </c>
      <c r="B9" s="131" t="inlineStr">
        <is>
          <t>Beneficio Neto Auditado SEC</t>
        </is>
      </c>
      <c r="C9" s="173" t="inlineStr">
        <is>
          <t>Base Devengada</t>
        </is>
      </c>
      <c r="D9" s="174" t="n">
        <v>128930</v>
      </c>
      <c r="E9" s="174" t="n">
        <v>112010</v>
      </c>
      <c r="F9" s="174" t="n">
        <v>93736</v>
      </c>
      <c r="G9" s="174" t="n">
        <v>96995</v>
      </c>
      <c r="H9" s="174" t="n">
        <v>99803</v>
      </c>
      <c r="I9" s="174" t="n">
        <v>94680</v>
      </c>
      <c r="J9" s="174" t="n">
        <v>57411</v>
      </c>
      <c r="K9" s="174" t="n">
        <v>55256</v>
      </c>
      <c r="L9" s="174" t="n">
        <v>59531</v>
      </c>
      <c r="M9" s="174" t="n">
        <v>48351</v>
      </c>
      <c r="N9" s="174" t="n">
        <v>45687</v>
      </c>
    </row>
    <row r="10" ht="18.5" customHeight="1" s="105">
      <c r="A10" s="112" t="inlineStr">
        <is>
          <t>(-) Flujo de Caja Operativo CFO ($M) [Cash Flow]</t>
        </is>
      </c>
      <c r="B10" s="131" t="inlineStr">
        <is>
          <t>Efectivo Generado por Operaciones</t>
        </is>
      </c>
      <c r="C10" s="173" t="inlineStr">
        <is>
          <t>Base Efectivo</t>
        </is>
      </c>
      <c r="D10" s="174" t="n">
        <v>146724</v>
      </c>
      <c r="E10" s="174" t="n">
        <v>111482</v>
      </c>
      <c r="F10" s="174" t="n">
        <v>118254</v>
      </c>
      <c r="G10" s="174" t="n">
        <v>110543</v>
      </c>
      <c r="H10" s="174" t="n">
        <v>122151</v>
      </c>
      <c r="I10" s="174" t="n">
        <v>104038</v>
      </c>
      <c r="J10" s="174" t="n">
        <v>80674</v>
      </c>
      <c r="K10" s="174" t="n">
        <v>69391</v>
      </c>
      <c r="L10" s="174" t="n">
        <v>77434</v>
      </c>
      <c r="M10" s="174" t="n">
        <v>63598</v>
      </c>
      <c r="N10" s="174" t="n">
        <v>59713</v>
      </c>
    </row>
    <row r="11" ht="18.5" customHeight="1" s="105">
      <c r="A11" s="138" t="inlineStr">
        <is>
          <t>(=) Devengos Contables Totales ($M)</t>
        </is>
      </c>
      <c r="B11" s="131" t="inlineStr">
        <is>
          <t>Utilidad Neta - Flujo de Caja Operativo (CFO)</t>
        </is>
      </c>
      <c r="C11" s="173" t="inlineStr">
        <is>
          <t>CFO &gt; NI (Deseable)</t>
        </is>
      </c>
      <c r="D11" s="175" t="n">
        <v>-17794</v>
      </c>
      <c r="E11" s="175" t="n">
        <v>528</v>
      </c>
      <c r="F11" s="175" t="n">
        <v>-24518</v>
      </c>
      <c r="G11" s="175" t="n">
        <v>-13548</v>
      </c>
      <c r="H11" s="175" t="n">
        <v>-22348</v>
      </c>
      <c r="I11" s="175" t="n">
        <v>-9358</v>
      </c>
      <c r="J11" s="175" t="n">
        <v>-23263</v>
      </c>
      <c r="K11" s="175" t="n">
        <v>-14135</v>
      </c>
      <c r="L11" s="175" t="n">
        <v>-17903</v>
      </c>
      <c r="M11" s="175" t="n">
        <v>-15247</v>
      </c>
      <c r="N11" s="175" t="n">
        <v>-14026</v>
      </c>
    </row>
    <row r="12" ht="18.5" customHeight="1" s="105">
      <c r="A12" s="112" t="inlineStr">
        <is>
          <t>Activos Totales al Cierre ($M) [Balance Sheet]</t>
        </is>
      </c>
      <c r="B12" s="131" t="inlineStr">
        <is>
          <t>Activos Totales Reportados al Cierre</t>
        </is>
      </c>
      <c r="C12" s="173" t="inlineStr">
        <is>
          <t>Referencia Balance</t>
        </is>
      </c>
      <c r="D12" s="174" t="n">
        <v>383266</v>
      </c>
      <c r="E12" s="174" t="n">
        <v>359241</v>
      </c>
      <c r="F12" s="174" t="n">
        <v>364980</v>
      </c>
      <c r="G12" s="174" t="n">
        <v>352583</v>
      </c>
      <c r="H12" s="174" t="n">
        <v>352755</v>
      </c>
      <c r="I12" s="174" t="n">
        <v>351002</v>
      </c>
      <c r="J12" s="174" t="n">
        <v>323888</v>
      </c>
      <c r="K12" s="174" t="n">
        <v>338516</v>
      </c>
      <c r="L12" s="174" t="n">
        <v>365725</v>
      </c>
      <c r="M12" s="174" t="n">
        <v>375319</v>
      </c>
      <c r="N12" s="174" t="n">
        <v>321686</v>
      </c>
    </row>
    <row r="13" ht="18.5" customHeight="1" s="105">
      <c r="A13" s="112" t="inlineStr">
        <is>
          <t>Activos Totales Promedio ($M) [Denominador Sloan]</t>
        </is>
      </c>
      <c r="B13" s="131" t="inlineStr">
        <is>
          <t>(Activos_t + Activos_t-1) / 2</t>
        </is>
      </c>
      <c r="C13" s="173" t="inlineStr">
        <is>
          <t>Base de Activos</t>
        </is>
      </c>
      <c r="D13" s="174" t="n">
        <v>371253.5</v>
      </c>
      <c r="E13" s="174" t="n">
        <v>362110.5</v>
      </c>
      <c r="F13" s="174" t="n">
        <v>358781.5</v>
      </c>
      <c r="G13" s="174" t="n">
        <v>352669</v>
      </c>
      <c r="H13" s="174" t="n">
        <v>351878.5</v>
      </c>
      <c r="I13" s="174" t="n">
        <v>337445</v>
      </c>
      <c r="J13" s="174" t="n">
        <v>331202</v>
      </c>
      <c r="K13" s="174" t="n">
        <v>352120.5</v>
      </c>
      <c r="L13" s="174" t="n">
        <v>370522</v>
      </c>
      <c r="M13" s="174" t="n">
        <v>348502.5</v>
      </c>
      <c r="N13" s="174" t="n">
        <v>321686</v>
      </c>
    </row>
    <row r="14" ht="18.5" customHeight="1" s="105">
      <c r="A14" s="138" t="inlineStr">
        <is>
          <t>(=) Ratio de Devengos de Sloan (%)</t>
        </is>
      </c>
      <c r="B14" s="131" t="inlineStr">
        <is>
          <t>(Utilidad Neta - CFO) / Activos Promedio</t>
        </is>
      </c>
      <c r="C14" s="173" t="inlineStr">
        <is>
          <t>Óptimo: &lt; -3% | Alerta: &gt; +10%</t>
        </is>
      </c>
      <c r="D14" s="176" t="n">
        <v>-0.0479</v>
      </c>
      <c r="E14" s="177" t="n">
        <v>0.0015</v>
      </c>
      <c r="F14" s="176" t="n">
        <v>-0.0683</v>
      </c>
      <c r="G14" s="176" t="n">
        <v>-0.0384</v>
      </c>
      <c r="H14" s="176" t="n">
        <v>-0.0635</v>
      </c>
      <c r="I14" s="177" t="n">
        <v>-0.0277</v>
      </c>
      <c r="J14" s="176" t="n">
        <v>-0.0702</v>
      </c>
      <c r="K14" s="176" t="n">
        <v>-0.0401</v>
      </c>
      <c r="L14" s="176" t="n">
        <v>-0.0483</v>
      </c>
      <c r="M14" s="176" t="n">
        <v>-0.0438</v>
      </c>
      <c r="N14" s="176" t="n">
        <v>-0.0436</v>
      </c>
    </row>
    <row r="15" ht="18.5" customHeight="1" s="105">
      <c r="A15" s="112" t="inlineStr">
        <is>
          <t>Calidad de Beneficios &amp; Conversión de Caja</t>
        </is>
      </c>
      <c r="B15" s="131" t="inlineStr">
        <is>
          <t>Dictamen de Fidelidad Contable</t>
        </is>
      </c>
      <c r="C15" s="173" t="inlineStr">
        <is>
          <t>Alta Conversión / Saludable</t>
        </is>
      </c>
      <c r="D15" s="214" t="inlineStr">
        <is>
          <t>ALTA CONVERSIÓN DE CAJA (CFO &gt; NI)</t>
        </is>
      </c>
      <c r="E15" s="153" t="inlineStr">
        <is>
          <t>DEVENGOS EQUILIBRADOS</t>
        </is>
      </c>
      <c r="F15" s="214" t="inlineStr">
        <is>
          <t>ALTA CONVERSIÓN DE CAJA (CFO &gt; NI)</t>
        </is>
      </c>
      <c r="G15" s="214" t="inlineStr">
        <is>
          <t>ALTA CONVERSIÓN DE CAJA (CFO &gt; NI)</t>
        </is>
      </c>
      <c r="H15" s="214" t="inlineStr">
        <is>
          <t>ALTA CONVERSIÓN DE CAJA (CFO &gt; NI)</t>
        </is>
      </c>
      <c r="I15" s="153" t="inlineStr">
        <is>
          <t>DEVENGOS EQUILIBRADOS</t>
        </is>
      </c>
      <c r="J15" s="214" t="inlineStr">
        <is>
          <t>ALTA CONVERSIÓN DE CAJA (CFO &gt; NI)</t>
        </is>
      </c>
      <c r="K15" s="214" t="inlineStr">
        <is>
          <t>ALTA CONVERSIÓN DE CAJA (CFO &gt; NI)</t>
        </is>
      </c>
      <c r="L15" s="214" t="inlineStr">
        <is>
          <t>ALTA CONVERSIÓN DE CAJA (CFO &gt; NI)</t>
        </is>
      </c>
      <c r="M15" s="214" t="inlineStr">
        <is>
          <t>ALTA CONVERSIÓN DE CAJA (CFO &gt; NI)</t>
        </is>
      </c>
      <c r="N15" s="214" t="inlineStr">
        <is>
          <t>ALTA CONVERSIÓN DE CAJA (CFO &gt; NI)</t>
        </is>
      </c>
    </row>
    <row r="16" ht="18.5" customHeight="1" s="105">
      <c r="A16" s="138" t="inlineStr">
        <is>
          <t>Dictamen Forense de Devengos (Status)</t>
        </is>
      </c>
      <c r="B16" s="131" t="inlineStr">
        <is>
          <t>Interpretación de Riesgo Contable</t>
        </is>
      </c>
      <c r="C16" s="173" t="inlineStr">
        <is>
          <t>Bajo Riesgo de Manipulación</t>
        </is>
      </c>
      <c r="D16" s="214" t="inlineStr">
        <is>
          <t>EXCELENTE</t>
        </is>
      </c>
      <c r="E16" s="214" t="inlineStr">
        <is>
          <t>SALUDABLE</t>
        </is>
      </c>
      <c r="F16" s="214" t="inlineStr">
        <is>
          <t>EXCELENTE</t>
        </is>
      </c>
      <c r="G16" s="214" t="inlineStr">
        <is>
          <t>EXCELENTE</t>
        </is>
      </c>
      <c r="H16" s="214" t="inlineStr">
        <is>
          <t>EXCELENTE</t>
        </is>
      </c>
      <c r="I16" s="214" t="inlineStr">
        <is>
          <t>SALUDABLE</t>
        </is>
      </c>
      <c r="J16" s="214" t="inlineStr">
        <is>
          <t>EXCELENTE</t>
        </is>
      </c>
      <c r="K16" s="214" t="inlineStr">
        <is>
          <t>EXCELENTE</t>
        </is>
      </c>
      <c r="L16" s="214" t="inlineStr">
        <is>
          <t>EXCELENTE</t>
        </is>
      </c>
      <c r="M16" s="214" t="inlineStr">
        <is>
          <t>EXCELENTE</t>
        </is>
      </c>
      <c r="N16" s="214" t="inlineStr">
        <is>
          <t>EXCELENTE</t>
        </is>
      </c>
    </row>
    <row r="17" ht="56" customHeight="1" s="105">
      <c r="A17" s="208" t="inlineStr">
        <is>
          <t>Diagnóstico Forense Sloan (LTM): Conservadurismo contable sobresaliente. El flujo de caja operativo supera holgadamente a la utilidad neta, generando devengos negativos que blindan al accionista de inflaciones artificiales de beneficios.</t>
        </is>
      </c>
      <c r="B17" s="171" t="n"/>
      <c r="C17" s="171" t="n"/>
      <c r="D17" s="171" t="n"/>
      <c r="E17" s="171" t="n"/>
      <c r="F17" s="171" t="n"/>
      <c r="G17" s="171" t="n"/>
      <c r="H17" s="171" t="n"/>
      <c r="I17" s="171" t="n"/>
      <c r="J17" s="171" t="n"/>
      <c r="K17" s="171" t="n"/>
      <c r="L17" s="171" t="n"/>
      <c r="M17" s="171" t="n"/>
      <c r="N17" s="171" t="n"/>
    </row>
    <row r="18" ht="10" customHeight="1" s="105"/>
    <row r="19" ht="22" customHeight="1" s="105">
      <c r="A19" s="124" t="inlineStr">
        <is>
          <t>TABLA 2: MATRIZ DE DIVERGENCIAS DE ALERTA TEMPRANA (EARLY WARNING DIVERGENCE SPREADS)</t>
        </is>
      </c>
      <c r="B19" s="125" t="n"/>
      <c r="C19" s="125" t="n"/>
      <c r="D19" s="125" t="n"/>
      <c r="E19" s="125" t="n"/>
      <c r="F19" s="125" t="n"/>
      <c r="G19" s="125" t="n"/>
      <c r="H19" s="125" t="n"/>
      <c r="I19" s="125" t="n"/>
      <c r="J19" s="125" t="n"/>
      <c r="K19" s="125" t="n"/>
      <c r="L19" s="125" t="n"/>
      <c r="M19" s="125" t="n"/>
      <c r="N19" s="125" t="n"/>
    </row>
    <row r="20" ht="25" customHeight="1" s="105">
      <c r="A20" s="109" t="inlineStr">
        <is>
          <t>Métrica de Divergencia Contable</t>
        </is>
      </c>
      <c r="B20" s="111" t="inlineStr">
        <is>
          <t>Riesgo de Trampa Detectado</t>
        </is>
      </c>
      <c r="C20" s="111" t="inlineStr">
        <is>
          <t>Umbral de Alerta</t>
        </is>
      </c>
      <c r="D20" s="110" t="inlineStr">
        <is>
          <t>LTM</t>
        </is>
      </c>
      <c r="E20" s="111" t="inlineStr">
        <is>
          <t>FY2025</t>
        </is>
      </c>
      <c r="F20" s="111" t="inlineStr">
        <is>
          <t>FY2024</t>
        </is>
      </c>
      <c r="G20" s="111" t="inlineStr">
        <is>
          <t>FY2023</t>
        </is>
      </c>
      <c r="H20" s="111" t="inlineStr">
        <is>
          <t>FY2022</t>
        </is>
      </c>
      <c r="I20" s="111" t="inlineStr">
        <is>
          <t>FY2021</t>
        </is>
      </c>
      <c r="J20" s="111" t="inlineStr">
        <is>
          <t>FY2020</t>
        </is>
      </c>
      <c r="K20" s="111" t="inlineStr">
        <is>
          <t>FY2019</t>
        </is>
      </c>
      <c r="L20" s="111" t="inlineStr">
        <is>
          <t>FY2018</t>
        </is>
      </c>
      <c r="M20" s="111" t="inlineStr">
        <is>
          <t>FY2017</t>
        </is>
      </c>
      <c r="N20" s="111" t="inlineStr">
        <is>
          <t>FY2016</t>
        </is>
      </c>
    </row>
    <row r="21" ht="22" customHeight="1" s="105">
      <c r="A21" s="124" t="inlineStr">
        <is>
          <t>A. Divergencia Cuentas por Cobrar vs. Ventas (Alerta de Facturación Agresiva / Channel Stuffing)</t>
        </is>
      </c>
      <c r="B21" s="125" t="n"/>
      <c r="C21" s="125" t="n"/>
      <c r="D21" s="125" t="n"/>
      <c r="E21" s="125" t="n"/>
      <c r="F21" s="125" t="n"/>
      <c r="G21" s="125" t="n"/>
      <c r="H21" s="125" t="n"/>
      <c r="I21" s="125" t="n"/>
      <c r="J21" s="125" t="n"/>
      <c r="K21" s="125" t="n"/>
      <c r="L21" s="125" t="n"/>
      <c r="M21" s="125" t="n"/>
      <c r="N21" s="125" t="n"/>
    </row>
    <row r="22" ht="18.5" customHeight="1" s="105">
      <c r="A22" s="112" t="inlineStr">
        <is>
          <t>(+) Cuentas por Cobrar Netas ($M) [Accounts Receivable]</t>
        </is>
      </c>
      <c r="B22" s="131" t="inlineStr">
        <is>
          <t>Saldo de Clientes en Balance</t>
        </is>
      </c>
      <c r="C22" s="173" t="inlineStr">
        <is>
          <t>Auditoría Balance</t>
        </is>
      </c>
      <c r="D22" s="174" t="n">
        <v>31398</v>
      </c>
      <c r="E22" s="174" t="n">
        <v>39777</v>
      </c>
      <c r="F22" s="174" t="n">
        <v>33410</v>
      </c>
      <c r="G22" s="174" t="n">
        <v>29508</v>
      </c>
      <c r="H22" s="174" t="n">
        <v>28184</v>
      </c>
      <c r="I22" s="174" t="n">
        <v>26278</v>
      </c>
      <c r="J22" s="174" t="n">
        <v>16120</v>
      </c>
      <c r="K22" s="174" t="n">
        <v>22926</v>
      </c>
      <c r="L22" s="174" t="n">
        <v>23186</v>
      </c>
      <c r="M22" s="174" t="n">
        <v>17874</v>
      </c>
      <c r="N22" s="174" t="n">
        <v>15754</v>
      </c>
    </row>
    <row r="23" ht="18.5" customHeight="1" s="105">
      <c r="A23" s="112" t="inlineStr">
        <is>
          <t>Crecimiento Interanual Cuentas por Cobrar (Δ AR %)</t>
        </is>
      </c>
      <c r="B23" s="131" t="inlineStr">
        <is>
          <t>(AR_t - AR_t-1) / AR_t-1</t>
        </is>
      </c>
      <c r="C23" s="173" t="inlineStr">
        <is>
          <t>Ritmo de Cartera</t>
        </is>
      </c>
      <c r="D23" s="179" t="n">
        <v>-0.210649</v>
      </c>
      <c r="E23" s="179" t="n">
        <v>0.190572</v>
      </c>
      <c r="F23" s="179" t="n">
        <v>0.132235</v>
      </c>
      <c r="G23" s="179" t="n">
        <v>0.046977</v>
      </c>
      <c r="H23" s="179" t="n">
        <v>0.072532</v>
      </c>
      <c r="I23" s="179" t="n">
        <v>0.630149</v>
      </c>
      <c r="J23" s="179" t="n">
        <v>-0.296868</v>
      </c>
      <c r="K23" s="179" t="n">
        <v>-0.011214</v>
      </c>
      <c r="L23" s="179" t="n">
        <v>0.297191</v>
      </c>
      <c r="M23" s="179" t="n">
        <v>0.134569</v>
      </c>
      <c r="N23" s="180" t="inlineStr">
        <is>
          <t>-</t>
        </is>
      </c>
    </row>
    <row r="24" ht="18.5" customHeight="1" s="105">
      <c r="A24" s="112" t="inlineStr">
        <is>
          <t>(+) Ingresos por Ventas ($M) [Revenue]</t>
        </is>
      </c>
      <c r="B24" s="131" t="inlineStr">
        <is>
          <t>Ventas Netas Reportadas</t>
        </is>
      </c>
      <c r="C24" s="173" t="inlineStr">
        <is>
          <t>Auditoría Resultados</t>
        </is>
      </c>
      <c r="D24" s="174" t="n">
        <v>466823</v>
      </c>
      <c r="E24" s="174" t="n">
        <v>416161</v>
      </c>
      <c r="F24" s="174" t="n">
        <v>391035</v>
      </c>
      <c r="G24" s="174" t="n">
        <v>383285</v>
      </c>
      <c r="H24" s="174" t="n">
        <v>394328</v>
      </c>
      <c r="I24" s="174" t="n">
        <v>365817</v>
      </c>
      <c r="J24" s="174" t="n">
        <v>274515</v>
      </c>
      <c r="K24" s="174" t="n">
        <v>260174</v>
      </c>
      <c r="L24" s="174" t="n">
        <v>265595</v>
      </c>
      <c r="M24" s="174" t="n">
        <v>229234</v>
      </c>
      <c r="N24" s="174" t="n">
        <v>215639</v>
      </c>
    </row>
    <row r="25" ht="18.5" customHeight="1" s="105">
      <c r="A25" s="112" t="inlineStr">
        <is>
          <t>Crecimiento Interanual Ventas (Δ Ventas %)</t>
        </is>
      </c>
      <c r="B25" s="131" t="inlineStr">
        <is>
          <t>(Ventas_t - Ventas_t-1) / Ventas_t-1</t>
        </is>
      </c>
      <c r="C25" s="173" t="inlineStr">
        <is>
          <t>Ritmo Comercial</t>
        </is>
      </c>
      <c r="D25" s="179" t="n">
        <v>0.121737</v>
      </c>
      <c r="E25" s="179" t="n">
        <v>0.06425500000000001</v>
      </c>
      <c r="F25" s="179" t="n">
        <v>0.02022</v>
      </c>
      <c r="G25" s="179" t="n">
        <v>-0.028005</v>
      </c>
      <c r="H25" s="179" t="n">
        <v>0.07793799999999999</v>
      </c>
      <c r="I25" s="179" t="n">
        <v>0.332594</v>
      </c>
      <c r="J25" s="179" t="n">
        <v>0.055121</v>
      </c>
      <c r="K25" s="179" t="n">
        <v>-0.020411</v>
      </c>
      <c r="L25" s="179" t="n">
        <v>0.15862</v>
      </c>
      <c r="M25" s="179" t="n">
        <v>0.063045</v>
      </c>
      <c r="N25" s="180" t="inlineStr">
        <is>
          <t>-</t>
        </is>
      </c>
    </row>
    <row r="26" ht="18.5" customHeight="1" s="105">
      <c r="A26" s="138" t="inlineStr">
        <is>
          <t>(=) Spread Divergencia AR - Ventas (%)</t>
        </is>
      </c>
      <c r="B26" s="131" t="inlineStr">
        <is>
          <t>Δ AR % - Δ Ventas %</t>
        </is>
      </c>
      <c r="C26" s="173" t="inlineStr">
        <is>
          <t>Alerta si &gt; +10.0%</t>
        </is>
      </c>
      <c r="D26" s="181" t="n">
        <v>-0.332386</v>
      </c>
      <c r="E26" s="182" t="n">
        <v>0.126317</v>
      </c>
      <c r="F26" s="182" t="n">
        <v>0.112015</v>
      </c>
      <c r="G26" s="167" t="n">
        <v>0.07498199999999999</v>
      </c>
      <c r="H26" s="181" t="n">
        <v>-0.005406</v>
      </c>
      <c r="I26" s="182" t="n">
        <v>0.297555</v>
      </c>
      <c r="J26" s="181" t="n">
        <v>-0.351989</v>
      </c>
      <c r="K26" s="181" t="n">
        <v>0.009197</v>
      </c>
      <c r="L26" s="182" t="n">
        <v>0.138572</v>
      </c>
      <c r="M26" s="167" t="n">
        <v>0.071524</v>
      </c>
      <c r="N26" s="180" t="inlineStr">
        <is>
          <t>-</t>
        </is>
      </c>
    </row>
    <row r="27" ht="18.5" customHeight="1" s="105">
      <c r="A27" s="112" t="inlineStr">
        <is>
          <t>Días de Cobro Pendientes (DSO - Días)</t>
        </is>
      </c>
      <c r="B27" s="131" t="inlineStr">
        <is>
          <t>(AR / Ventas) * 365</t>
        </is>
      </c>
      <c r="C27" s="173" t="inlineStr">
        <is>
          <t>Rotación de Cobros</t>
        </is>
      </c>
      <c r="D27" s="183" t="n">
        <v>24.5</v>
      </c>
      <c r="E27" s="183" t="n">
        <v>34.9</v>
      </c>
      <c r="F27" s="183" t="n">
        <v>31.2</v>
      </c>
      <c r="G27" s="183" t="n">
        <v>28.1</v>
      </c>
      <c r="H27" s="183" t="n">
        <v>26.1</v>
      </c>
      <c r="I27" s="183" t="n">
        <v>26.2</v>
      </c>
      <c r="J27" s="183" t="n">
        <v>21.4</v>
      </c>
      <c r="K27" s="183" t="n">
        <v>32.2</v>
      </c>
      <c r="L27" s="183" t="n">
        <v>31.9</v>
      </c>
      <c r="M27" s="183" t="n">
        <v>28.5</v>
      </c>
      <c r="N27" s="183" t="n">
        <v>26.7</v>
      </c>
    </row>
    <row r="28" ht="18.5" customHeight="1" s="105">
      <c r="A28" s="112" t="inlineStr">
        <is>
          <t>Variación en Días de Cobro (Δ DSO)</t>
        </is>
      </c>
      <c r="B28" s="131" t="inlineStr">
        <is>
          <t>DSO_t - DSO_t-1</t>
        </is>
      </c>
      <c r="C28" s="173" t="inlineStr">
        <is>
          <t>Alerta si &gt; +5.0d</t>
        </is>
      </c>
      <c r="D28" s="184" t="n">
        <v>-10.3</v>
      </c>
      <c r="E28" s="184" t="n">
        <v>3.7</v>
      </c>
      <c r="F28" s="184" t="n">
        <v>3.1</v>
      </c>
      <c r="G28" s="184" t="n">
        <v>2</v>
      </c>
      <c r="H28" s="184" t="n">
        <v>-0.1</v>
      </c>
      <c r="I28" s="184" t="n">
        <v>4.8</v>
      </c>
      <c r="J28" s="184" t="n">
        <v>-10.7</v>
      </c>
      <c r="K28" s="184" t="n">
        <v>0.3</v>
      </c>
      <c r="L28" s="184" t="n">
        <v>3.4</v>
      </c>
      <c r="M28" s="184" t="n">
        <v>1.8</v>
      </c>
      <c r="N28" s="180" t="inlineStr">
        <is>
          <t>-</t>
        </is>
      </c>
    </row>
    <row r="29" ht="18.5" customHeight="1" s="105">
      <c r="A29" s="138" t="inlineStr">
        <is>
          <t>Dictamen de Cobranza &amp; Riesgo Comercial</t>
        </is>
      </c>
      <c r="B29" s="131" t="inlineStr">
        <is>
          <t>Diagnóstico de Agresividad</t>
        </is>
      </c>
      <c r="C29" s="173" t="inlineStr">
        <is>
          <t>Sin Señales / Alerta</t>
        </is>
      </c>
      <c r="D29" s="214" t="inlineStr">
        <is>
          <t>COBRANZA SANA</t>
        </is>
      </c>
      <c r="E29" s="214" t="inlineStr">
        <is>
          <t>COBRANZA SANA</t>
        </is>
      </c>
      <c r="F29" s="214" t="inlineStr">
        <is>
          <t>COBRANZA SANA</t>
        </is>
      </c>
      <c r="G29" s="214" t="inlineStr">
        <is>
          <t>COBRANZA SANA</t>
        </is>
      </c>
      <c r="H29" s="214" t="inlineStr">
        <is>
          <t>COBRANZA SANA</t>
        </is>
      </c>
      <c r="I29" s="214" t="inlineStr">
        <is>
          <t>COBRANZA SANA</t>
        </is>
      </c>
      <c r="J29" s="214" t="inlineStr">
        <is>
          <t>COBRANZA SANA</t>
        </is>
      </c>
      <c r="K29" s="214" t="inlineStr">
        <is>
          <t>COBRANZA SANA</t>
        </is>
      </c>
      <c r="L29" s="214" t="inlineStr">
        <is>
          <t>COBRANZA SANA</t>
        </is>
      </c>
      <c r="M29" s="214" t="inlineStr">
        <is>
          <t>COBRANZA SANA</t>
        </is>
      </c>
      <c r="N29" s="214" t="inlineStr">
        <is>
          <t>COBRANZA SANA</t>
        </is>
      </c>
    </row>
    <row r="30" ht="10" customHeight="1" s="105"/>
    <row r="31" ht="22" customHeight="1" s="105">
      <c r="A31" s="124" t="inlineStr">
        <is>
          <t>B. Divergencia Inventarios vs. Coste de Ventas (Alerta de Existencias No Vendidas / Absorción de Costes)</t>
        </is>
      </c>
      <c r="B31" s="125" t="n"/>
      <c r="C31" s="125" t="n"/>
      <c r="D31" s="125" t="n"/>
      <c r="E31" s="125" t="n"/>
      <c r="F31" s="125" t="n"/>
      <c r="G31" s="125" t="n"/>
      <c r="H31" s="125" t="n"/>
      <c r="I31" s="125" t="n"/>
      <c r="J31" s="125" t="n"/>
      <c r="K31" s="125" t="n"/>
      <c r="L31" s="125" t="n"/>
      <c r="M31" s="125" t="n"/>
      <c r="N31" s="125" t="n"/>
    </row>
    <row r="32" ht="18.5" customHeight="1" s="105">
      <c r="A32" s="112" t="inlineStr">
        <is>
          <t>(+) Inventarios Netos ($M) [Inventory]</t>
        </is>
      </c>
      <c r="B32" s="131" t="inlineStr">
        <is>
          <t>Existencias Totales en Balance</t>
        </is>
      </c>
      <c r="C32" s="173" t="inlineStr">
        <is>
          <t>Auditoría Balance</t>
        </is>
      </c>
      <c r="D32" s="174" t="n">
        <v>11092</v>
      </c>
      <c r="E32" s="174" t="n">
        <v>5718</v>
      </c>
      <c r="F32" s="174" t="n">
        <v>7286</v>
      </c>
      <c r="G32" s="174" t="n">
        <v>6331</v>
      </c>
      <c r="H32" s="174" t="n">
        <v>4946</v>
      </c>
      <c r="I32" s="174" t="n">
        <v>6580</v>
      </c>
      <c r="J32" s="174" t="n">
        <v>4061</v>
      </c>
      <c r="K32" s="174" t="n">
        <v>4106</v>
      </c>
      <c r="L32" s="174" t="n">
        <v>3956</v>
      </c>
      <c r="M32" s="174" t="n">
        <v>4855</v>
      </c>
      <c r="N32" s="174" t="n">
        <v>2132</v>
      </c>
    </row>
    <row r="33" ht="18.5" customHeight="1" s="105">
      <c r="A33" s="112" t="inlineStr">
        <is>
          <t>Crecimiento Interanual Inventarios (Δ Inv %)</t>
        </is>
      </c>
      <c r="B33" s="131" t="inlineStr">
        <is>
          <t>(Inv_t - Inv_t-1) / Inv_t-1</t>
        </is>
      </c>
      <c r="C33" s="173" t="inlineStr">
        <is>
          <t>Ritmo de Stock</t>
        </is>
      </c>
      <c r="D33" s="179" t="n">
        <v>0.939839</v>
      </c>
      <c r="E33" s="179" t="n">
        <v>-0.215207</v>
      </c>
      <c r="F33" s="179" t="n">
        <v>0.150845</v>
      </c>
      <c r="G33" s="179" t="n">
        <v>0.280024</v>
      </c>
      <c r="H33" s="179" t="n">
        <v>-0.248328</v>
      </c>
      <c r="I33" s="179" t="n">
        <v>0.620291</v>
      </c>
      <c r="J33" s="179" t="n">
        <v>-0.01096</v>
      </c>
      <c r="K33" s="179" t="n">
        <v>0.037917</v>
      </c>
      <c r="L33" s="179" t="n">
        <v>-0.18517</v>
      </c>
      <c r="M33" s="179" t="n">
        <v>1.277205</v>
      </c>
      <c r="N33" s="180" t="inlineStr">
        <is>
          <t>-</t>
        </is>
      </c>
    </row>
    <row r="34" ht="18.5" customHeight="1" s="105">
      <c r="A34" s="112" t="inlineStr">
        <is>
          <t>(+) Coste de Bienes Vendidos COGS ($M)</t>
        </is>
      </c>
      <c r="B34" s="131" t="inlineStr">
        <is>
          <t>Coste de Ventas Reportado</t>
        </is>
      </c>
      <c r="C34" s="173" t="inlineStr">
        <is>
          <t>Auditoría Resultados</t>
        </is>
      </c>
      <c r="D34" s="174" t="n">
        <v>239700</v>
      </c>
      <c r="E34" s="174" t="n">
        <v>220960</v>
      </c>
      <c r="F34" s="174" t="n">
        <v>210352</v>
      </c>
      <c r="G34" s="174" t="n">
        <v>214137</v>
      </c>
      <c r="H34" s="174" t="n">
        <v>223546</v>
      </c>
      <c r="I34" s="174" t="n">
        <v>212981</v>
      </c>
      <c r="J34" s="174" t="n">
        <v>169559</v>
      </c>
      <c r="K34" s="174" t="n">
        <v>161782</v>
      </c>
      <c r="L34" s="174" t="n">
        <v>163756</v>
      </c>
      <c r="M34" s="174" t="n">
        <v>141048</v>
      </c>
      <c r="N34" s="174" t="n">
        <v>131376</v>
      </c>
    </row>
    <row r="35" ht="18.5" customHeight="1" s="105">
      <c r="A35" s="112" t="inlineStr">
        <is>
          <t>Crecimiento Interanual COGS (Δ COGS %)</t>
        </is>
      </c>
      <c r="B35" s="131" t="inlineStr">
        <is>
          <t>(COGS_t - COGS_t-1) / COGS_t-1</t>
        </is>
      </c>
      <c r="C35" s="173" t="inlineStr">
        <is>
          <t>Ritmo de Coste</t>
        </is>
      </c>
      <c r="D35" s="179" t="n">
        <v>0.084812</v>
      </c>
      <c r="E35" s="179" t="n">
        <v>0.05043</v>
      </c>
      <c r="F35" s="179" t="n">
        <v>-0.017676</v>
      </c>
      <c r="G35" s="179" t="n">
        <v>-0.04209</v>
      </c>
      <c r="H35" s="179" t="n">
        <v>0.049605</v>
      </c>
      <c r="I35" s="179" t="n">
        <v>0.256088</v>
      </c>
      <c r="J35" s="179" t="n">
        <v>0.048071</v>
      </c>
      <c r="K35" s="179" t="n">
        <v>-0.012055</v>
      </c>
      <c r="L35" s="179" t="n">
        <v>0.160995</v>
      </c>
      <c r="M35" s="179" t="n">
        <v>0.07362100000000001</v>
      </c>
      <c r="N35" s="180" t="inlineStr">
        <is>
          <t>-</t>
        </is>
      </c>
    </row>
    <row r="36" ht="18.5" customHeight="1" s="105">
      <c r="A36" s="138" t="inlineStr">
        <is>
          <t>(=) Spread Divergencia Inventarios - COGS (%)</t>
        </is>
      </c>
      <c r="B36" s="131" t="inlineStr">
        <is>
          <t>Δ Inv % - Δ COGS %</t>
        </is>
      </c>
      <c r="C36" s="173" t="inlineStr">
        <is>
          <t>Alerta si &gt; +15.0%</t>
        </is>
      </c>
      <c r="D36" s="167" t="n">
        <v>0.855027</v>
      </c>
      <c r="E36" s="181" t="n">
        <v>-0.265637</v>
      </c>
      <c r="F36" s="167" t="n">
        <v>0.168521</v>
      </c>
      <c r="G36" s="167" t="n">
        <v>0.322114</v>
      </c>
      <c r="H36" s="181" t="n">
        <v>-0.297934</v>
      </c>
      <c r="I36" s="167" t="n">
        <v>0.364203</v>
      </c>
      <c r="J36" s="181" t="n">
        <v>-0.05903</v>
      </c>
      <c r="K36" s="181" t="n">
        <v>0.049972</v>
      </c>
      <c r="L36" s="181" t="n">
        <v>-0.346165</v>
      </c>
      <c r="M36" s="167" t="n">
        <v>1.203584</v>
      </c>
      <c r="N36" s="180" t="inlineStr">
        <is>
          <t>-</t>
        </is>
      </c>
    </row>
    <row r="37" ht="18.5" customHeight="1" s="105">
      <c r="A37" s="112" t="inlineStr">
        <is>
          <t>Días de Inventario en Balance (DIO - Días)</t>
        </is>
      </c>
      <c r="B37" s="131" t="inlineStr">
        <is>
          <t>(Inventario / COGS) * 365</t>
        </is>
      </c>
      <c r="C37" s="173" t="inlineStr">
        <is>
          <t>Rotación de Existencias</t>
        </is>
      </c>
      <c r="D37" s="183" t="n">
        <v>16.9</v>
      </c>
      <c r="E37" s="183" t="n">
        <v>9.4</v>
      </c>
      <c r="F37" s="183" t="n">
        <v>12.6</v>
      </c>
      <c r="G37" s="183" t="n">
        <v>10.8</v>
      </c>
      <c r="H37" s="183" t="n">
        <v>8.1</v>
      </c>
      <c r="I37" s="183" t="n">
        <v>11.3</v>
      </c>
      <c r="J37" s="183" t="n">
        <v>8.699999999999999</v>
      </c>
      <c r="K37" s="183" t="n">
        <v>9.300000000000001</v>
      </c>
      <c r="L37" s="183" t="n">
        <v>8.800000000000001</v>
      </c>
      <c r="M37" s="183" t="n">
        <v>12.6</v>
      </c>
      <c r="N37" s="183" t="n">
        <v>5.9</v>
      </c>
    </row>
    <row r="38" ht="18.5" customHeight="1" s="105">
      <c r="A38" s="112" t="inlineStr">
        <is>
          <t>Variación en Días de Inventario (Δ DIO)</t>
        </is>
      </c>
      <c r="B38" s="131" t="inlineStr">
        <is>
          <t>DIO_t - DIO_t-1</t>
        </is>
      </c>
      <c r="C38" s="173" t="inlineStr">
        <is>
          <t>Alerta si &gt; +7.0d</t>
        </is>
      </c>
      <c r="D38" s="184" t="n">
        <v>7.4</v>
      </c>
      <c r="E38" s="184" t="n">
        <v>-3.2</v>
      </c>
      <c r="F38" s="184" t="n">
        <v>1.9</v>
      </c>
      <c r="G38" s="184" t="n">
        <v>2.7</v>
      </c>
      <c r="H38" s="184" t="n">
        <v>-3.2</v>
      </c>
      <c r="I38" s="184" t="n">
        <v>2.5</v>
      </c>
      <c r="J38" s="184" t="n">
        <v>-0.5</v>
      </c>
      <c r="K38" s="184" t="n">
        <v>0.4</v>
      </c>
      <c r="L38" s="184" t="n">
        <v>-3.7</v>
      </c>
      <c r="M38" s="184" t="n">
        <v>6.6</v>
      </c>
      <c r="N38" s="180" t="inlineStr">
        <is>
          <t>-</t>
        </is>
      </c>
    </row>
    <row r="39" ht="18.5" customHeight="1" s="105">
      <c r="A39" s="138" t="inlineStr">
        <is>
          <t>Dictamen de Inventario &amp; Riesgo de Margen</t>
        </is>
      </c>
      <c r="B39" s="131" t="inlineStr">
        <is>
          <t>Diagnóstico de Stock / Absorción</t>
        </is>
      </c>
      <c r="C39" s="173" t="inlineStr">
        <is>
          <t>Controlado / Revisión</t>
        </is>
      </c>
      <c r="D39" s="163" t="inlineStr">
        <is>
          <t>REVISIÓN OPERATIVA</t>
        </is>
      </c>
      <c r="E39" s="214" t="inlineStr">
        <is>
          <t>INVENTARIO CONTROLADO</t>
        </is>
      </c>
      <c r="F39" s="214" t="inlineStr">
        <is>
          <t>INVENTARIO CONTROLADO</t>
        </is>
      </c>
      <c r="G39" s="214" t="inlineStr">
        <is>
          <t>INVENTARIO CONTROLADO</t>
        </is>
      </c>
      <c r="H39" s="214" t="inlineStr">
        <is>
          <t>INVENTARIO CONTROLADO</t>
        </is>
      </c>
      <c r="I39" s="214" t="inlineStr">
        <is>
          <t>INVENTARIO CONTROLADO</t>
        </is>
      </c>
      <c r="J39" s="214" t="inlineStr">
        <is>
          <t>INVENTARIO CONTROLADO</t>
        </is>
      </c>
      <c r="K39" s="214" t="inlineStr">
        <is>
          <t>INVENTARIO CONTROLADO</t>
        </is>
      </c>
      <c r="L39" s="214" t="inlineStr">
        <is>
          <t>INVENTARIO CONTROLADO</t>
        </is>
      </c>
      <c r="M39" s="214" t="inlineStr">
        <is>
          <t>INVENTARIO CONTROLADO</t>
        </is>
      </c>
      <c r="N39" s="214" t="inlineStr">
        <is>
          <t>INVENTARIO CONTROLADO</t>
        </is>
      </c>
    </row>
    <row r="40" ht="10" customHeight="1" s="105"/>
    <row r="41" ht="22" customHeight="1" s="105">
      <c r="A41" s="124" t="inlineStr">
        <is>
          <t>C. Índice de Activos Blandos (Soft Assets Ratio - Calidad Patrimonial y Capitalización de Costes)</t>
        </is>
      </c>
      <c r="B41" s="125" t="n"/>
      <c r="C41" s="125" t="n"/>
      <c r="D41" s="125" t="n"/>
      <c r="E41" s="125" t="n"/>
      <c r="F41" s="125" t="n"/>
      <c r="G41" s="125" t="n"/>
      <c r="H41" s="125" t="n"/>
      <c r="I41" s="125" t="n"/>
      <c r="J41" s="125" t="n"/>
      <c r="K41" s="125" t="n"/>
      <c r="L41" s="125" t="n"/>
      <c r="M41" s="125" t="n"/>
      <c r="N41" s="125" t="n"/>
    </row>
    <row r="42" ht="18.5" customHeight="1" s="105">
      <c r="A42" s="112" t="inlineStr">
        <is>
          <t>(+) Activos Totales en Balance ($M)</t>
        </is>
      </c>
      <c r="B42" s="131" t="inlineStr">
        <is>
          <t>Total Assets</t>
        </is>
      </c>
      <c r="C42" s="173" t="inlineStr">
        <is>
          <t>Auditoría Balance</t>
        </is>
      </c>
      <c r="D42" s="174" t="n">
        <v>383266</v>
      </c>
      <c r="E42" s="174" t="n">
        <v>359241</v>
      </c>
      <c r="F42" s="174" t="n">
        <v>364980</v>
      </c>
      <c r="G42" s="174" t="n">
        <v>352583</v>
      </c>
      <c r="H42" s="174" t="n">
        <v>352755</v>
      </c>
      <c r="I42" s="174" t="n">
        <v>351002</v>
      </c>
      <c r="J42" s="174" t="n">
        <v>323888</v>
      </c>
      <c r="K42" s="174" t="n">
        <v>338516</v>
      </c>
      <c r="L42" s="174" t="n">
        <v>365725</v>
      </c>
      <c r="M42" s="174" t="n">
        <v>375319</v>
      </c>
      <c r="N42" s="174" t="n">
        <v>321686</v>
      </c>
    </row>
    <row r="43" ht="18.5" customHeight="1" s="105">
      <c r="A43" s="112" t="inlineStr">
        <is>
          <t>(-) PP&amp;E Tangible Neto ($M)</t>
        </is>
      </c>
      <c r="B43" s="131" t="inlineStr">
        <is>
          <t>Property, Plant &amp; Equipment Net</t>
        </is>
      </c>
      <c r="C43" s="173" t="inlineStr">
        <is>
          <t>Activo Físico Duro</t>
        </is>
      </c>
      <c r="D43" s="174" t="n">
        <v>51431</v>
      </c>
      <c r="E43" s="174" t="n">
        <v>49834</v>
      </c>
      <c r="F43" s="174" t="n">
        <v>45680</v>
      </c>
      <c r="G43" s="174" t="n">
        <v>43715</v>
      </c>
      <c r="H43" s="174" t="n">
        <v>42117</v>
      </c>
      <c r="I43" s="174" t="n">
        <v>39440</v>
      </c>
      <c r="J43" s="174" t="n">
        <v>36766</v>
      </c>
      <c r="K43" s="174" t="n">
        <v>37378</v>
      </c>
      <c r="L43" s="174" t="n">
        <v>41304</v>
      </c>
      <c r="M43" s="174" t="n">
        <v>33783</v>
      </c>
      <c r="N43" s="174" t="n">
        <v>27010</v>
      </c>
    </row>
    <row r="44" ht="18.5" customHeight="1" s="105">
      <c r="A44" s="112" t="inlineStr">
        <is>
          <t>(-) Tesorería y Equivalentes ($M)</t>
        </is>
      </c>
      <c r="B44" s="131" t="inlineStr">
        <is>
          <t>Cash &amp; Cash Equivalents</t>
        </is>
      </c>
      <c r="C44" s="173" t="inlineStr">
        <is>
          <t>Liquidez Inmediata</t>
        </is>
      </c>
      <c r="D44" s="174" t="n">
        <v>39544</v>
      </c>
      <c r="E44" s="174" t="n">
        <v>35934</v>
      </c>
      <c r="F44" s="174" t="n">
        <v>29943</v>
      </c>
      <c r="G44" s="174" t="n">
        <v>29965</v>
      </c>
      <c r="H44" s="174" t="n">
        <v>23646</v>
      </c>
      <c r="I44" s="174" t="n">
        <v>34940</v>
      </c>
      <c r="J44" s="174" t="n">
        <v>38016</v>
      </c>
      <c r="K44" s="174" t="n">
        <v>48844</v>
      </c>
      <c r="L44" s="174" t="n">
        <v>25913</v>
      </c>
      <c r="M44" s="174" t="n">
        <v>20289</v>
      </c>
      <c r="N44" s="174" t="n">
        <v>20484</v>
      </c>
    </row>
    <row r="45" ht="18.5" customHeight="1" s="105">
      <c r="A45" s="138" t="inlineStr">
        <is>
          <t>(=) Activos Blandos / No Duros ($M)</t>
        </is>
      </c>
      <c r="B45" s="131" t="inlineStr">
        <is>
          <t>Total Assets - (PP&amp;E Neto + Caja)</t>
        </is>
      </c>
      <c r="C45" s="173" t="inlineStr">
        <is>
          <t>Intangibles y Diferidos</t>
        </is>
      </c>
      <c r="D45" s="174" t="n">
        <v>292291</v>
      </c>
      <c r="E45" s="174" t="n">
        <v>273473</v>
      </c>
      <c r="F45" s="174" t="n">
        <v>289357</v>
      </c>
      <c r="G45" s="174" t="n">
        <v>278903</v>
      </c>
      <c r="H45" s="174" t="n">
        <v>286992</v>
      </c>
      <c r="I45" s="174" t="n">
        <v>276622</v>
      </c>
      <c r="J45" s="174" t="n">
        <v>249106</v>
      </c>
      <c r="K45" s="174" t="n">
        <v>252294</v>
      </c>
      <c r="L45" s="174" t="n">
        <v>298508</v>
      </c>
      <c r="M45" s="174" t="n">
        <v>321247</v>
      </c>
      <c r="N45" s="174" t="n">
        <v>274192</v>
      </c>
    </row>
    <row r="46" ht="18.5" customHeight="1" s="105">
      <c r="A46" s="138" t="inlineStr">
        <is>
          <t>(=) Ratio de Activos Blandos (%)</t>
        </is>
      </c>
      <c r="B46" s="131" t="inlineStr">
        <is>
          <t>Activos Blandos / Activos Totales</t>
        </is>
      </c>
      <c r="C46" s="173" t="inlineStr">
        <is>
          <t>Normal: &lt; 70% | Alerta: &gt; 75%</t>
        </is>
      </c>
      <c r="D46" s="166" t="n">
        <v>0.762632</v>
      </c>
      <c r="E46" s="166" t="n">
        <v>0.761252</v>
      </c>
      <c r="F46" s="166" t="n">
        <v>0.792802</v>
      </c>
      <c r="G46" s="166" t="n">
        <v>0.791028</v>
      </c>
      <c r="H46" s="166" t="n">
        <v>0.813573</v>
      </c>
      <c r="I46" s="166" t="n">
        <v>0.788092</v>
      </c>
      <c r="J46" s="166" t="n">
        <v>0.769112</v>
      </c>
      <c r="K46" s="185" t="n">
        <v>0.745294</v>
      </c>
      <c r="L46" s="166" t="n">
        <v>0.816209</v>
      </c>
      <c r="M46" s="166" t="n">
        <v>0.855931</v>
      </c>
      <c r="N46" s="166" t="n">
        <v>0.852359</v>
      </c>
    </row>
    <row r="47" ht="18.5" customHeight="1" s="105">
      <c r="A47" s="112" t="inlineStr">
        <is>
          <t>Variación Interanual en Ratio (Δ p.p.)</t>
        </is>
      </c>
      <c r="B47" s="131" t="inlineStr">
        <is>
          <t>Ratio_t - Ratio_t-1</t>
        </is>
      </c>
      <c r="C47" s="173" t="inlineStr">
        <is>
          <t>Alerta si &gt; +3.0 p.p.</t>
        </is>
      </c>
      <c r="D47" s="179" t="n">
        <v>0.00138</v>
      </c>
      <c r="E47" s="179" t="n">
        <v>-0.03155</v>
      </c>
      <c r="F47" s="179" t="n">
        <v>0.001774</v>
      </c>
      <c r="G47" s="179" t="n">
        <v>-0.022545</v>
      </c>
      <c r="H47" s="179" t="n">
        <v>0.025481</v>
      </c>
      <c r="I47" s="179" t="n">
        <v>0.018981</v>
      </c>
      <c r="J47" s="179" t="n">
        <v>0.023817</v>
      </c>
      <c r="K47" s="179" t="n">
        <v>-0.07091500000000001</v>
      </c>
      <c r="L47" s="179" t="n">
        <v>-0.039722</v>
      </c>
      <c r="M47" s="179" t="n">
        <v>0.003571</v>
      </c>
      <c r="N47" s="180" t="inlineStr">
        <is>
          <t>-</t>
        </is>
      </c>
    </row>
    <row r="48" ht="18.5" customHeight="1" s="105">
      <c r="A48" s="138" t="inlineStr">
        <is>
          <t>Dictamen de Estructura Patrimonial</t>
        </is>
      </c>
      <c r="B48" s="131" t="inlineStr">
        <is>
          <t>Calidad de Respaldo Contable</t>
        </is>
      </c>
      <c r="C48" s="173" t="inlineStr">
        <is>
          <t>Estructura Sólida</t>
        </is>
      </c>
      <c r="D48" s="214" t="inlineStr">
        <is>
          <t>ESTRUCTURA NORMAL</t>
        </is>
      </c>
      <c r="E48" s="214" t="inlineStr">
        <is>
          <t>ESTRUCTURA NORMAL</t>
        </is>
      </c>
      <c r="F48" s="214" t="inlineStr">
        <is>
          <t>ESTRUCTURA NORMAL</t>
        </is>
      </c>
      <c r="G48" s="214" t="inlineStr">
        <is>
          <t>ESTRUCTURA NORMAL</t>
        </is>
      </c>
      <c r="H48" s="214" t="inlineStr">
        <is>
          <t>ESTRUCTURA NORMAL</t>
        </is>
      </c>
      <c r="I48" s="214" t="inlineStr">
        <is>
          <t>ESTRUCTURA NORMAL</t>
        </is>
      </c>
      <c r="J48" s="214" t="inlineStr">
        <is>
          <t>ESTRUCTURA NORMAL</t>
        </is>
      </c>
      <c r="K48" s="214" t="inlineStr">
        <is>
          <t>ESTRUCTURA NORMAL</t>
        </is>
      </c>
      <c r="L48" s="214" t="inlineStr">
        <is>
          <t>ESTRUCTURA NORMAL</t>
        </is>
      </c>
      <c r="M48" s="214" t="inlineStr">
        <is>
          <t>ESTRUCTURA NORMAL</t>
        </is>
      </c>
      <c r="N48" s="214" t="inlineStr">
        <is>
          <t>ESTRUCTURA NORMAL</t>
        </is>
      </c>
    </row>
    <row r="49" ht="10" customHeight="1" s="105"/>
    <row r="50" ht="22" customHeight="1" s="105">
      <c r="A50" s="124" t="inlineStr">
        <is>
          <t>TABLA 3: DESGLOSE FORENSE MONTIER C-SCORE (JAMES MONTIER 2008 - 'COOKING THE BOOKS')</t>
        </is>
      </c>
      <c r="B50" s="125" t="n"/>
      <c r="C50" s="125" t="n"/>
      <c r="D50" s="125" t="n"/>
      <c r="E50" s="125" t="n"/>
      <c r="F50" s="125" t="n"/>
      <c r="G50" s="125" t="n"/>
      <c r="H50" s="125" t="n"/>
      <c r="I50" s="125" t="n"/>
      <c r="J50" s="125" t="n"/>
      <c r="K50" s="125" t="n"/>
      <c r="L50" s="125" t="n"/>
      <c r="M50" s="125" t="n"/>
      <c r="N50" s="125" t="n"/>
    </row>
    <row r="51" ht="25" customHeight="1" s="105">
      <c r="A51" s="109" t="inlineStr">
        <is>
          <t>Bandera Forense de Manipulación (C-Score)</t>
        </is>
      </c>
      <c r="B51" s="111" t="inlineStr">
        <is>
          <t>Condición Contable Evaluada</t>
        </is>
      </c>
      <c r="C51" s="111" t="inlineStr">
        <is>
          <t>Justificación Teórica de la Trampa</t>
        </is>
      </c>
      <c r="D51" s="110" t="inlineStr">
        <is>
          <t>LTM</t>
        </is>
      </c>
      <c r="E51" s="111" t="inlineStr">
        <is>
          <t>FY2025</t>
        </is>
      </c>
      <c r="F51" s="111" t="inlineStr">
        <is>
          <t>FY2024</t>
        </is>
      </c>
      <c r="G51" s="111" t="inlineStr">
        <is>
          <t>FY2023</t>
        </is>
      </c>
      <c r="H51" s="111" t="inlineStr">
        <is>
          <t>FY2022</t>
        </is>
      </c>
      <c r="I51" s="111" t="inlineStr">
        <is>
          <t>FY2021</t>
        </is>
      </c>
      <c r="J51" s="111" t="inlineStr">
        <is>
          <t>FY2020</t>
        </is>
      </c>
      <c r="K51" s="111" t="inlineStr">
        <is>
          <t>FY2019</t>
        </is>
      </c>
      <c r="L51" s="111" t="inlineStr">
        <is>
          <t>FY2018</t>
        </is>
      </c>
      <c r="M51" s="111" t="inlineStr">
        <is>
          <t>FY2017</t>
        </is>
      </c>
      <c r="N51" s="111" t="inlineStr">
        <is>
          <t>FY2016</t>
        </is>
      </c>
    </row>
    <row r="52" ht="18.5" customHeight="1" s="105">
      <c r="A52" s="112" t="inlineStr">
        <is>
          <t>Bandera 1: Divergencia Beneficio vs. Caja</t>
        </is>
      </c>
      <c r="B52" s="131" t="inlineStr">
        <is>
          <t>Utilidad Neta &gt; Flujo de Caja Operativo (NI &gt; CFO)</t>
        </is>
      </c>
      <c r="C52" s="186" t="inlineStr">
        <is>
          <t>Beneficios no monetizados en caja</t>
        </is>
      </c>
      <c r="D52" s="214" t="inlineStr">
        <is>
          <t>✅ OK</t>
        </is>
      </c>
      <c r="E52" s="215" t="inlineStr">
        <is>
          <t>🚩 FLAG</t>
        </is>
      </c>
      <c r="F52" s="214" t="inlineStr">
        <is>
          <t>✅ OK</t>
        </is>
      </c>
      <c r="G52" s="214" t="inlineStr">
        <is>
          <t>✅ OK</t>
        </is>
      </c>
      <c r="H52" s="214" t="inlineStr">
        <is>
          <t>✅ OK</t>
        </is>
      </c>
      <c r="I52" s="214" t="inlineStr">
        <is>
          <t>✅ OK</t>
        </is>
      </c>
      <c r="J52" s="214" t="inlineStr">
        <is>
          <t>✅ OK</t>
        </is>
      </c>
      <c r="K52" s="214" t="inlineStr">
        <is>
          <t>✅ OK</t>
        </is>
      </c>
      <c r="L52" s="214" t="inlineStr">
        <is>
          <t>✅ OK</t>
        </is>
      </c>
      <c r="M52" s="214" t="inlineStr">
        <is>
          <t>✅ OK</t>
        </is>
      </c>
      <c r="N52" s="153" t="inlineStr">
        <is>
          <t>-</t>
        </is>
      </c>
    </row>
    <row r="53" ht="18.5" customHeight="1" s="105">
      <c r="A53" s="112" t="inlineStr">
        <is>
          <t>Bandera 2: Cuentas por Cobrar &gt; Ventas</t>
        </is>
      </c>
      <c r="B53" s="131" t="inlineStr">
        <is>
          <t>Δ Cuentas por Cobrar % &gt; Δ Ventas %</t>
        </is>
      </c>
      <c r="C53" s="186" t="inlineStr">
        <is>
          <t>Facturación acelerada / Channel Stuffing</t>
        </is>
      </c>
      <c r="D53" s="214" t="inlineStr">
        <is>
          <t>✅ OK</t>
        </is>
      </c>
      <c r="E53" s="215" t="inlineStr">
        <is>
          <t>🚩 FLAG</t>
        </is>
      </c>
      <c r="F53" s="215" t="inlineStr">
        <is>
          <t>🚩 FLAG</t>
        </is>
      </c>
      <c r="G53" s="215" t="inlineStr">
        <is>
          <t>🚩 FLAG</t>
        </is>
      </c>
      <c r="H53" s="214" t="inlineStr">
        <is>
          <t>✅ OK</t>
        </is>
      </c>
      <c r="I53" s="215" t="inlineStr">
        <is>
          <t>🚩 FLAG</t>
        </is>
      </c>
      <c r="J53" s="214" t="inlineStr">
        <is>
          <t>✅ OK</t>
        </is>
      </c>
      <c r="K53" s="214" t="inlineStr">
        <is>
          <t>✅ OK</t>
        </is>
      </c>
      <c r="L53" s="215" t="inlineStr">
        <is>
          <t>🚩 FLAG</t>
        </is>
      </c>
      <c r="M53" s="215" t="inlineStr">
        <is>
          <t>🚩 FLAG</t>
        </is>
      </c>
      <c r="N53" s="153" t="inlineStr">
        <is>
          <t>-</t>
        </is>
      </c>
    </row>
    <row r="54" ht="18.5" customHeight="1" s="105">
      <c r="A54" s="112" t="inlineStr">
        <is>
          <t>Bandera 3: Inventarios &gt; Coste de Ventas</t>
        </is>
      </c>
      <c r="B54" s="131" t="inlineStr">
        <is>
          <t>Δ Inventarios % &gt; Δ Coste de Ventas %</t>
        </is>
      </c>
      <c r="C54" s="186" t="inlineStr">
        <is>
          <t>Sobreproducción para absorber costes o stock obsoleto</t>
        </is>
      </c>
      <c r="D54" s="215" t="inlineStr">
        <is>
          <t>🚩 FLAG</t>
        </is>
      </c>
      <c r="E54" s="214" t="inlineStr">
        <is>
          <t>✅ OK</t>
        </is>
      </c>
      <c r="F54" s="215" t="inlineStr">
        <is>
          <t>🚩 FLAG</t>
        </is>
      </c>
      <c r="G54" s="215" t="inlineStr">
        <is>
          <t>🚩 FLAG</t>
        </is>
      </c>
      <c r="H54" s="214" t="inlineStr">
        <is>
          <t>✅ OK</t>
        </is>
      </c>
      <c r="I54" s="215" t="inlineStr">
        <is>
          <t>🚩 FLAG</t>
        </is>
      </c>
      <c r="J54" s="214" t="inlineStr">
        <is>
          <t>✅ OK</t>
        </is>
      </c>
      <c r="K54" s="215" t="inlineStr">
        <is>
          <t>🚩 FLAG</t>
        </is>
      </c>
      <c r="L54" s="214" t="inlineStr">
        <is>
          <t>✅ OK</t>
        </is>
      </c>
      <c r="M54" s="215" t="inlineStr">
        <is>
          <t>🚩 FLAG</t>
        </is>
      </c>
      <c r="N54" s="153" t="inlineStr">
        <is>
          <t>-</t>
        </is>
      </c>
    </row>
    <row r="55" ht="18.5" customHeight="1" s="105">
      <c r="A55" s="112" t="inlineStr">
        <is>
          <t>Bandera 4: Deterioro del Margen Bruto</t>
        </is>
      </c>
      <c r="B55" s="131" t="inlineStr">
        <is>
          <t>Margen Bruto_t &lt; Margen Bruto_t-1</t>
        </is>
      </c>
      <c r="C55" s="186" t="inlineStr">
        <is>
          <t>Presión en márgenes que incita al maquillaje</t>
        </is>
      </c>
      <c r="D55" s="214" t="inlineStr">
        <is>
          <t>✅ OK</t>
        </is>
      </c>
      <c r="E55" s="214" t="inlineStr">
        <is>
          <t>✅ OK</t>
        </is>
      </c>
      <c r="F55" s="214" t="inlineStr">
        <is>
          <t>✅ OK</t>
        </is>
      </c>
      <c r="G55" s="214" t="inlineStr">
        <is>
          <t>✅ OK</t>
        </is>
      </c>
      <c r="H55" s="214" t="inlineStr">
        <is>
          <t>✅ OK</t>
        </is>
      </c>
      <c r="I55" s="214" t="inlineStr">
        <is>
          <t>✅ OK</t>
        </is>
      </c>
      <c r="J55" s="214" t="inlineStr">
        <is>
          <t>✅ OK</t>
        </is>
      </c>
      <c r="K55" s="215" t="inlineStr">
        <is>
          <t>🚩 FLAG</t>
        </is>
      </c>
      <c r="L55" s="214" t="inlineStr">
        <is>
          <t>✅ OK</t>
        </is>
      </c>
      <c r="M55" s="215" t="inlineStr">
        <is>
          <t>🚩 FLAG</t>
        </is>
      </c>
      <c r="N55" s="153" t="inlineStr">
        <is>
          <t>-</t>
        </is>
      </c>
    </row>
    <row r="56" ht="18.5" customHeight="1" s="105">
      <c r="A56" s="112" t="inlineStr">
        <is>
          <t>Bandera 5: Incremento de Activos Blandos</t>
        </is>
      </c>
      <c r="B56" s="131" t="inlineStr">
        <is>
          <t>Ratio Activos Blandos_t &gt; Ratio_t-1</t>
        </is>
      </c>
      <c r="C56" s="186" t="inlineStr">
        <is>
          <t>Capitalización indebida de gastos diferidos</t>
        </is>
      </c>
      <c r="D56" s="214" t="inlineStr">
        <is>
          <t>✅ OK</t>
        </is>
      </c>
      <c r="E56" s="214" t="inlineStr">
        <is>
          <t>✅ OK</t>
        </is>
      </c>
      <c r="F56" s="214" t="inlineStr">
        <is>
          <t>✅ OK</t>
        </is>
      </c>
      <c r="G56" s="214" t="inlineStr">
        <is>
          <t>✅ OK</t>
        </is>
      </c>
      <c r="H56" s="215" t="inlineStr">
        <is>
          <t>🚩 FLAG</t>
        </is>
      </c>
      <c r="I56" s="215" t="inlineStr">
        <is>
          <t>🚩 FLAG</t>
        </is>
      </c>
      <c r="J56" s="215" t="inlineStr">
        <is>
          <t>🚩 FLAG</t>
        </is>
      </c>
      <c r="K56" s="214" t="inlineStr">
        <is>
          <t>✅ OK</t>
        </is>
      </c>
      <c r="L56" s="214" t="inlineStr">
        <is>
          <t>✅ OK</t>
        </is>
      </c>
      <c r="M56" s="214" t="inlineStr">
        <is>
          <t>✅ OK</t>
        </is>
      </c>
      <c r="N56" s="153" t="inlineStr">
        <is>
          <t>-</t>
        </is>
      </c>
    </row>
    <row r="57" ht="18.5" customHeight="1" s="105">
      <c r="A57" s="112" t="inlineStr">
        <is>
          <t>Bandera 6: Reducción de Tasa de Depreciación</t>
        </is>
      </c>
      <c r="B57" s="131" t="inlineStr">
        <is>
          <t>Tasa Depreciación_t &lt; Tasa Depreciación_t-1</t>
        </is>
      </c>
      <c r="C57" s="186" t="inlineStr">
        <is>
          <t>Estiramiento de vidas útiles para inflar utilidad</t>
        </is>
      </c>
      <c r="D57" s="214" t="inlineStr">
        <is>
          <t>✅ OK</t>
        </is>
      </c>
      <c r="E57" s="215" t="inlineStr">
        <is>
          <t>🚩 FLAG</t>
        </is>
      </c>
      <c r="F57" s="215" t="inlineStr">
        <is>
          <t>🚩 FLAG</t>
        </is>
      </c>
      <c r="G57" s="214" t="inlineStr">
        <is>
          <t>✅ OK</t>
        </is>
      </c>
      <c r="H57" s="215" t="inlineStr">
        <is>
          <t>🚩 FLAG</t>
        </is>
      </c>
      <c r="I57" s="215" t="inlineStr">
        <is>
          <t>🚩 FLAG</t>
        </is>
      </c>
      <c r="J57" s="215" t="inlineStr">
        <is>
          <t>🚩 FLAG</t>
        </is>
      </c>
      <c r="K57" s="214" t="inlineStr">
        <is>
          <t>✅ OK</t>
        </is>
      </c>
      <c r="L57" s="214" t="inlineStr">
        <is>
          <t>✅ OK</t>
        </is>
      </c>
      <c r="M57" s="215" t="inlineStr">
        <is>
          <t>🚩 FLAG</t>
        </is>
      </c>
      <c r="N57" s="153" t="inlineStr">
        <is>
          <t>-</t>
        </is>
      </c>
    </row>
    <row r="58" ht="22" customHeight="1" s="105">
      <c r="A58" s="188" t="inlineStr">
        <is>
          <t>(=) MONTIER C-SCORE TOTAL (0 a 6 Puntos)</t>
        </is>
      </c>
      <c r="B58" s="188" t="inlineStr">
        <is>
          <t>Suma de Banderas Activas (0 a 6)</t>
        </is>
      </c>
      <c r="C58" s="189" t="inlineStr">
        <is>
          <t>0-1: Bajo Riesgo | 2-3: Moderado | 4-6: Alto Riesgo</t>
        </is>
      </c>
      <c r="D58" s="190" t="inlineStr">
        <is>
          <t>1/6</t>
        </is>
      </c>
      <c r="E58" s="191" t="inlineStr">
        <is>
          <t>3/6</t>
        </is>
      </c>
      <c r="F58" s="191" t="inlineStr">
        <is>
          <t>3/6</t>
        </is>
      </c>
      <c r="G58" s="191" t="inlineStr">
        <is>
          <t>2/6</t>
        </is>
      </c>
      <c r="H58" s="191" t="inlineStr">
        <is>
          <t>2/6</t>
        </is>
      </c>
      <c r="I58" s="192" t="inlineStr">
        <is>
          <t>4/6</t>
        </is>
      </c>
      <c r="J58" s="191" t="inlineStr">
        <is>
          <t>2/6</t>
        </is>
      </c>
      <c r="K58" s="191" t="inlineStr">
        <is>
          <t>2/6</t>
        </is>
      </c>
      <c r="L58" s="190" t="inlineStr">
        <is>
          <t>1/6</t>
        </is>
      </c>
      <c r="M58" s="192" t="inlineStr">
        <is>
          <t>4/6</t>
        </is>
      </c>
      <c r="N58" s="189" t="inlineStr">
        <is>
          <t>-</t>
        </is>
      </c>
    </row>
    <row r="59" ht="22" customHeight="1" s="105">
      <c r="A59" s="138" t="inlineStr">
        <is>
          <t>Nivel de Riesgo &amp; Dictamen C-Score</t>
        </is>
      </c>
      <c r="B59" s="131" t="inlineStr">
        <is>
          <t>Clasificación Institucional de Riesgo Forense</t>
        </is>
      </c>
      <c r="C59" s="173" t="inlineStr">
        <is>
          <t>Probabilidad Empírica de Manipulación</t>
        </is>
      </c>
      <c r="D59" s="214" t="inlineStr">
        <is>
          <t>RIESGO MUY BAJO / LIBROS LIMPIOS</t>
        </is>
      </c>
      <c r="E59" s="163" t="inlineStr">
        <is>
          <t>RIESGO MODERADO / ALERTA PREVENTIVA</t>
        </is>
      </c>
      <c r="F59" s="163" t="inlineStr">
        <is>
          <t>RIESGO MODERADO / ALERTA PREVENTIVA</t>
        </is>
      </c>
      <c r="G59" s="163" t="inlineStr">
        <is>
          <t>RIESGO MODERADO / ALERTA PREVENTIVA</t>
        </is>
      </c>
      <c r="H59" s="163" t="inlineStr">
        <is>
          <t>RIESGO MODERADO / ALERTA PREVENTIVA</t>
        </is>
      </c>
      <c r="I59" s="215" t="inlineStr">
        <is>
          <t>RIESGO ALTO / ALERTA FORENSE</t>
        </is>
      </c>
      <c r="J59" s="163" t="inlineStr">
        <is>
          <t>RIESGO MODERADO / ALERTA PREVENTIVA</t>
        </is>
      </c>
      <c r="K59" s="163" t="inlineStr">
        <is>
          <t>RIESGO MODERADO / ALERTA PREVENTIVA</t>
        </is>
      </c>
      <c r="L59" s="214" t="inlineStr">
        <is>
          <t>RIESGO MUY BAJO / LIBROS LIMPIOS</t>
        </is>
      </c>
      <c r="M59" s="215" t="inlineStr">
        <is>
          <t>RIESGO ALTO / ALERTA FORENSE</t>
        </is>
      </c>
      <c r="N59" s="173" t="inlineStr">
        <is>
          <t>DATOS INSUFICIENTES (SIN T-1)</t>
        </is>
      </c>
    </row>
  </sheetData>
  <mergeCells count="2">
    <mergeCell ref="A17:N17"/>
    <mergeCell ref="B5:N5"/>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N57"/>
  <sheetViews>
    <sheetView showGridLines="1" workbookViewId="0">
      <pane xSplit="3" ySplit="7" topLeftCell="D8" activePane="bottomRight" state="frozen"/>
      <selection pane="topRight"/>
      <selection pane="bottomLeft"/>
      <selection pane="bottomRight" activeCell="A1" sqref="A1"/>
    </sheetView>
  </sheetViews>
  <sheetFormatPr baseColWidth="8" defaultRowHeight="15"/>
  <cols>
    <col width="50" customWidth="1" style="105" min="1" max="1"/>
    <col width="22" customWidth="1" style="105" min="2" max="2"/>
    <col width="22" customWidth="1" style="105" min="3" max="3"/>
    <col width="14.5" customWidth="1" style="105" min="4" max="4"/>
    <col width="14.5" customWidth="1" style="105" min="5" max="5"/>
    <col width="14.5" customWidth="1" style="105" min="6" max="6"/>
    <col width="14.5" customWidth="1" style="105" min="7" max="7"/>
    <col width="14.5" customWidth="1" style="105" min="8" max="8"/>
    <col width="14.5" customWidth="1" style="105" min="9" max="9"/>
    <col width="14.5" customWidth="1" style="105" min="10" max="10"/>
    <col width="14.5" customWidth="1" style="105" min="11" max="11"/>
    <col width="14.5" customWidth="1" style="105" min="12" max="12"/>
    <col width="14.5" customWidth="1" style="105" min="13" max="13"/>
    <col width="14.5" customWidth="1" style="105" min="14" max="14"/>
  </cols>
  <sheetData>
    <row r="1" ht="30" customHeight="1" s="105">
      <c r="A1" s="107" t="inlineStr">
        <is>
          <t>Apple Inc. (AAPL) - Solvencia, Deuda &amp; Estrés Financiero (Credit Risk Engine)</t>
        </is>
      </c>
    </row>
    <row r="2" ht="18" customHeight="1" s="105">
      <c r="A2" s="108" t="inlineStr">
        <is>
          <t>Análisis Institucional: Capacidad de Pago contra Flujos de Caja, Cobertura de Intereses, Liquidez y Quiebra (Altman Z'' &amp; Damodaran)</t>
        </is>
      </c>
    </row>
    <row r="3" ht="8" customHeight="1" s="105"/>
    <row r="4" ht="22" customHeight="1" s="105">
      <c r="A4" s="124" t="inlineStr">
        <is>
          <t>DICTAMEN GLOBAL DE SOLVENCIA</t>
        </is>
      </c>
      <c r="B4" s="128" t="inlineStr">
        <is>
          <t>Período: LTM</t>
        </is>
      </c>
      <c r="C4" s="128" t="inlineStr">
        <is>
          <t>Rating Sintético: AAA [GRADO INSTITUCIONAL MÁXIMO (AAA / Aaa)]</t>
        </is>
      </c>
      <c r="D4" s="128" t="inlineStr">
        <is>
          <t>Altman Z'': 3.23 [ZONA SEGURA]</t>
        </is>
      </c>
      <c r="E4" s="128" t="inlineStr">
        <is>
          <t>Estado: MÁXIMA SOLVENCIA INSTITUCIONAL</t>
        </is>
      </c>
      <c r="F4" s="125" t="n"/>
      <c r="G4" s="125" t="n"/>
      <c r="H4" s="125" t="n"/>
      <c r="I4" s="125" t="n"/>
      <c r="J4" s="125" t="n"/>
      <c r="K4" s="125" t="n"/>
      <c r="L4" s="125" t="n"/>
      <c r="M4" s="125" t="n"/>
      <c r="N4" s="125" t="n"/>
    </row>
    <row r="5" ht="56" customHeight="1" s="105">
      <c r="A5" s="161" t="inlineStr">
        <is>
          <t>VEREDICTO SOLVENCIA:</t>
        </is>
      </c>
      <c r="B5" s="193" t="inlineStr">
        <is>
          <t>FORTALEZA FINANCIERA INQUEBRANTABLE (GRADO INSTITUCIONAL AAA/AA): Apalancamiento óptimo (0.25x), cobertura de intereses de 41.8x y Altman Z''-Score de 3.23 en Zona Segura. Cero estrés crediticio, con capacidad excepcional de financiación en cualquier ciclo macroeconómico.</t>
        </is>
      </c>
      <c r="C5" s="171" t="n"/>
      <c r="D5" s="171" t="n"/>
      <c r="E5" s="171" t="n"/>
      <c r="F5" s="171" t="n"/>
      <c r="G5" s="171" t="n"/>
      <c r="H5" s="171" t="n"/>
      <c r="I5" s="171" t="n"/>
      <c r="J5" s="171" t="n"/>
      <c r="K5" s="171" t="n"/>
      <c r="L5" s="171" t="n"/>
      <c r="M5" s="171" t="n"/>
      <c r="N5" s="171" t="n"/>
    </row>
    <row r="6" ht="10" customHeight="1" s="105"/>
    <row r="7" ht="22" customHeight="1" s="105">
      <c r="A7" s="124" t="inlineStr">
        <is>
          <t>TABLA 1: APALANCAMIENTO Y CAPACIDAD DE AMORTIZACIÓN (CASH FLOW LEVERAGE)</t>
        </is>
      </c>
      <c r="B7" s="125" t="n"/>
      <c r="C7" s="125" t="n"/>
      <c r="D7" s="125" t="n"/>
      <c r="E7" s="125" t="n"/>
      <c r="F7" s="125" t="n"/>
      <c r="G7" s="125" t="n"/>
      <c r="H7" s="125" t="n"/>
      <c r="I7" s="125" t="n"/>
      <c r="J7" s="125" t="n"/>
      <c r="K7" s="125" t="n"/>
      <c r="L7" s="125" t="n"/>
      <c r="M7" s="125" t="n"/>
      <c r="N7" s="125" t="n"/>
    </row>
    <row r="8" ht="25" customHeight="1" s="105">
      <c r="A8" s="109" t="inlineStr">
        <is>
          <t>Componente / Métrica de Apalancamiento</t>
        </is>
      </c>
      <c r="B8" s="109" t="inlineStr">
        <is>
          <t>Definición / Fórmula Contable</t>
        </is>
      </c>
      <c r="C8" s="111" t="inlineStr">
        <is>
          <t>Zona Óptima / Umbral Crediticio</t>
        </is>
      </c>
      <c r="D8" s="110" t="inlineStr">
        <is>
          <t>LTM</t>
        </is>
      </c>
      <c r="E8" s="111" t="inlineStr">
        <is>
          <t>FY2025</t>
        </is>
      </c>
      <c r="F8" s="111" t="inlineStr">
        <is>
          <t>FY2024</t>
        </is>
      </c>
      <c r="G8" s="111" t="inlineStr">
        <is>
          <t>FY2023</t>
        </is>
      </c>
      <c r="H8" s="111" t="inlineStr">
        <is>
          <t>FY2022</t>
        </is>
      </c>
      <c r="I8" s="111" t="inlineStr">
        <is>
          <t>FY2021</t>
        </is>
      </c>
      <c r="J8" s="111" t="inlineStr">
        <is>
          <t>FY2020</t>
        </is>
      </c>
      <c r="K8" s="111" t="inlineStr">
        <is>
          <t>FY2019</t>
        </is>
      </c>
      <c r="L8" s="111" t="inlineStr">
        <is>
          <t>FY2018</t>
        </is>
      </c>
      <c r="M8" s="111" t="inlineStr">
        <is>
          <t>FY2017</t>
        </is>
      </c>
      <c r="N8" s="111" t="inlineStr">
        <is>
          <t>FY2016</t>
        </is>
      </c>
    </row>
    <row r="9" ht="18.5" customHeight="1" s="105">
      <c r="A9" s="112" t="inlineStr">
        <is>
          <t>(+) Deuda Financiera Total ($M)</t>
        </is>
      </c>
      <c r="B9" s="131" t="inlineStr">
        <is>
          <t>Short-Term Debt + Long-Term Debt</t>
        </is>
      </c>
      <c r="C9" s="173" t="inlineStr">
        <is>
          <t>Referencia Balance</t>
        </is>
      </c>
      <c r="D9" s="142" t="n">
        <v>82347</v>
      </c>
      <c r="E9" s="142" t="n">
        <v>90678</v>
      </c>
      <c r="F9" s="142" t="n">
        <v>96662</v>
      </c>
      <c r="G9" s="142" t="n">
        <v>105103</v>
      </c>
      <c r="H9" s="142" t="n">
        <v>110087</v>
      </c>
      <c r="I9" s="142" t="n">
        <v>118719</v>
      </c>
      <c r="J9" s="142" t="n">
        <v>107440</v>
      </c>
      <c r="K9" s="142" t="n">
        <v>102067</v>
      </c>
      <c r="L9" s="142" t="n">
        <v>102519</v>
      </c>
      <c r="M9" s="142" t="n">
        <v>103703</v>
      </c>
      <c r="N9" s="142" t="n">
        <v>78927</v>
      </c>
    </row>
    <row r="10" ht="18.5" customHeight="1" s="105">
      <c r="A10" s="112" t="inlineStr">
        <is>
          <t>(-) Tesorería y Equivalentes ($M)</t>
        </is>
      </c>
      <c r="B10" s="131" t="inlineStr">
        <is>
          <t>Cash &amp; Cash Equivalents</t>
        </is>
      </c>
      <c r="C10" s="173" t="inlineStr">
        <is>
          <t>Liquidez Inmediata</t>
        </is>
      </c>
      <c r="D10" s="142" t="n">
        <v>39544</v>
      </c>
      <c r="E10" s="142" t="n">
        <v>35934</v>
      </c>
      <c r="F10" s="142" t="n">
        <v>29943</v>
      </c>
      <c r="G10" s="142" t="n">
        <v>29965</v>
      </c>
      <c r="H10" s="142" t="n">
        <v>23646</v>
      </c>
      <c r="I10" s="142" t="n">
        <v>34940</v>
      </c>
      <c r="J10" s="142" t="n">
        <v>38016</v>
      </c>
      <c r="K10" s="142" t="n">
        <v>48844</v>
      </c>
      <c r="L10" s="142" t="n">
        <v>25913</v>
      </c>
      <c r="M10" s="142" t="n">
        <v>20289</v>
      </c>
      <c r="N10" s="142" t="n">
        <v>20484</v>
      </c>
    </row>
    <row r="11" ht="18.5" customHeight="1" s="105">
      <c r="A11" s="118" t="inlineStr">
        <is>
          <t>(=) Deuda Financiera Neta ($M)</t>
        </is>
      </c>
      <c r="B11" s="194" t="inlineStr">
        <is>
          <t>Deuda Total - Tesorería</t>
        </is>
      </c>
      <c r="C11" s="195" t="inlineStr">
        <is>
          <t>Caja Neta &lt; $0 (Deseable)</t>
        </is>
      </c>
      <c r="D11" s="196" t="n">
        <v>42803</v>
      </c>
      <c r="E11" s="196" t="n">
        <v>54744</v>
      </c>
      <c r="F11" s="196" t="n">
        <v>66719</v>
      </c>
      <c r="G11" s="196" t="n">
        <v>75138</v>
      </c>
      <c r="H11" s="196" t="n">
        <v>86441</v>
      </c>
      <c r="I11" s="196" t="n">
        <v>83779</v>
      </c>
      <c r="J11" s="196" t="n">
        <v>69424</v>
      </c>
      <c r="K11" s="196" t="n">
        <v>53223</v>
      </c>
      <c r="L11" s="196" t="n">
        <v>76606</v>
      </c>
      <c r="M11" s="196" t="n">
        <v>83414</v>
      </c>
      <c r="N11" s="196" t="n">
        <v>58443</v>
      </c>
    </row>
    <row r="12" ht="18.5" customHeight="1" s="105">
      <c r="A12" s="112" t="inlineStr">
        <is>
          <t>(+) Beneficio Operativo EBIT ($M)</t>
        </is>
      </c>
      <c r="B12" s="131" t="inlineStr">
        <is>
          <t>Operating Income Reportado</t>
        </is>
      </c>
      <c r="C12" s="173" t="inlineStr">
        <is>
          <t>Capacidad Operativa</t>
        </is>
      </c>
      <c r="D12" s="142" t="n">
        <v>154859</v>
      </c>
      <c r="E12" s="142" t="n">
        <v>133050</v>
      </c>
      <c r="F12" s="142" t="n">
        <v>123216</v>
      </c>
      <c r="G12" s="142" t="n">
        <v>114301</v>
      </c>
      <c r="H12" s="142" t="n">
        <v>119437</v>
      </c>
      <c r="I12" s="142" t="n">
        <v>108949</v>
      </c>
      <c r="J12" s="142" t="n">
        <v>66288</v>
      </c>
      <c r="K12" s="142" t="n">
        <v>63930</v>
      </c>
      <c r="L12" s="142" t="n">
        <v>70898</v>
      </c>
      <c r="M12" s="142" t="n">
        <v>61344</v>
      </c>
      <c r="N12" s="142" t="n">
        <v>60024</v>
      </c>
    </row>
    <row r="13" ht="18.5" customHeight="1" s="105">
      <c r="A13" s="112" t="inlineStr">
        <is>
          <t>(+) Depreciación y Amortización ($M)</t>
        </is>
      </c>
      <c r="B13" s="131" t="inlineStr">
        <is>
          <t>D&amp;A en Estado de Flujos</t>
        </is>
      </c>
      <c r="C13" s="173" t="inlineStr">
        <is>
          <t>Gasto No Monetario</t>
        </is>
      </c>
      <c r="D13" s="142" t="n">
        <v>13100</v>
      </c>
      <c r="E13" s="142" t="n">
        <v>11698</v>
      </c>
      <c r="F13" s="142" t="n">
        <v>11445</v>
      </c>
      <c r="G13" s="142" t="n">
        <v>11519</v>
      </c>
      <c r="H13" s="142" t="n">
        <v>11104</v>
      </c>
      <c r="I13" s="142" t="n">
        <v>11284</v>
      </c>
      <c r="J13" s="142" t="n">
        <v>11056</v>
      </c>
      <c r="K13" s="142" t="n">
        <v>12547</v>
      </c>
      <c r="L13" s="142" t="n">
        <v>10903</v>
      </c>
      <c r="M13" s="142" t="n">
        <v>8200</v>
      </c>
      <c r="N13" s="142" t="n">
        <v>8300</v>
      </c>
    </row>
    <row r="14" ht="18.5" customHeight="1" s="105">
      <c r="A14" s="118" t="inlineStr">
        <is>
          <t>(=) EBITDA ($M) [Generación Bruta]</t>
        </is>
      </c>
      <c r="B14" s="194" t="inlineStr">
        <is>
          <t>EBIT + Depreciación y Amortización</t>
        </is>
      </c>
      <c r="C14" s="195" t="inlineStr">
        <is>
          <t>Base Operativa Bruta</t>
        </is>
      </c>
      <c r="D14" s="196" t="n">
        <v>167959</v>
      </c>
      <c r="E14" s="196" t="n">
        <v>144748</v>
      </c>
      <c r="F14" s="196" t="n">
        <v>134661</v>
      </c>
      <c r="G14" s="196" t="n">
        <v>125820</v>
      </c>
      <c r="H14" s="196" t="n">
        <v>130541</v>
      </c>
      <c r="I14" s="196" t="n">
        <v>120233</v>
      </c>
      <c r="J14" s="196" t="n">
        <v>77344</v>
      </c>
      <c r="K14" s="196" t="n">
        <v>76477</v>
      </c>
      <c r="L14" s="196" t="n">
        <v>81801</v>
      </c>
      <c r="M14" s="196" t="n">
        <v>69544</v>
      </c>
      <c r="N14" s="196" t="n">
        <v>68324</v>
      </c>
    </row>
    <row r="15" ht="18.5" customHeight="1" s="105">
      <c r="A15" s="188" t="inlineStr">
        <is>
          <t>(=) Deuda Neta / EBITDA (Años de EBITDA)</t>
        </is>
      </c>
      <c r="B15" s="197" t="inlineStr">
        <is>
          <t>Deuda Neta / EBITDA</t>
        </is>
      </c>
      <c r="C15" s="198" t="inlineStr">
        <is>
          <t>Óptimo: &lt; 1.5x | Alerta: &gt; 3.5x</t>
        </is>
      </c>
      <c r="D15" s="199" t="n">
        <v>0.25</v>
      </c>
      <c r="E15" s="199" t="n">
        <v>0.38</v>
      </c>
      <c r="F15" s="199" t="n">
        <v>0.5</v>
      </c>
      <c r="G15" s="199" t="n">
        <v>0.6</v>
      </c>
      <c r="H15" s="199" t="n">
        <v>0.66</v>
      </c>
      <c r="I15" s="199" t="n">
        <v>0.7</v>
      </c>
      <c r="J15" s="199" t="n">
        <v>0.9</v>
      </c>
      <c r="K15" s="199" t="n">
        <v>0.7</v>
      </c>
      <c r="L15" s="199" t="n">
        <v>0.9399999999999999</v>
      </c>
      <c r="M15" s="199" t="n">
        <v>1.2</v>
      </c>
      <c r="N15" s="199" t="n">
        <v>0.86</v>
      </c>
    </row>
    <row r="16" ht="18.5" customHeight="1" s="105">
      <c r="A16" s="112" t="inlineStr">
        <is>
          <t>(+) Flujo de Caja Libre FCF ($M)</t>
        </is>
      </c>
      <c r="B16" s="131" t="inlineStr">
        <is>
          <t>Flujo Operativo (CFO) - CapEx</t>
        </is>
      </c>
      <c r="C16" s="173" t="inlineStr">
        <is>
          <t>Caja de Libre Disposición</t>
        </is>
      </c>
      <c r="D16" s="142" t="n">
        <v>136683</v>
      </c>
      <c r="E16" s="142" t="n">
        <v>98767</v>
      </c>
      <c r="F16" s="142" t="n">
        <v>108807</v>
      </c>
      <c r="G16" s="142" t="n">
        <v>99584</v>
      </c>
      <c r="H16" s="142" t="n">
        <v>111443</v>
      </c>
      <c r="I16" s="142" t="n">
        <v>92953</v>
      </c>
      <c r="J16" s="142" t="n">
        <v>73365</v>
      </c>
      <c r="K16" s="142" t="n">
        <v>58896</v>
      </c>
      <c r="L16" s="142" t="n">
        <v>64121</v>
      </c>
      <c r="M16" s="142" t="n">
        <v>51147</v>
      </c>
      <c r="N16" s="142" t="n">
        <v>46979</v>
      </c>
    </row>
    <row r="17" ht="18.5" customHeight="1" s="105">
      <c r="A17" s="188" t="inlineStr">
        <is>
          <t>(=) Deuda Neta / FCF (Años de Caja Libre)</t>
        </is>
      </c>
      <c r="B17" s="197" t="inlineStr">
        <is>
          <t>Deuda Neta / FCF</t>
        </is>
      </c>
      <c r="C17" s="198" t="inlineStr">
        <is>
          <t>Óptimo: &lt; 2.0x | Alerta: &gt; 4.0x</t>
        </is>
      </c>
      <c r="D17" s="199" t="n">
        <v>0.31</v>
      </c>
      <c r="E17" s="199" t="n">
        <v>0.55</v>
      </c>
      <c r="F17" s="199" t="n">
        <v>0.61</v>
      </c>
      <c r="G17" s="199" t="n">
        <v>0.75</v>
      </c>
      <c r="H17" s="199" t="n">
        <v>0.78</v>
      </c>
      <c r="I17" s="199" t="n">
        <v>0.9</v>
      </c>
      <c r="J17" s="199" t="n">
        <v>0.95</v>
      </c>
      <c r="K17" s="199" t="n">
        <v>0.9</v>
      </c>
      <c r="L17" s="199" t="n">
        <v>1.19</v>
      </c>
      <c r="M17" s="199" t="n">
        <v>1.63</v>
      </c>
      <c r="N17" s="199" t="n">
        <v>1.24</v>
      </c>
    </row>
    <row r="18" ht="18.5" customHeight="1" s="105">
      <c r="A18" s="112" t="inlineStr">
        <is>
          <t>Deuda Total / Flujo de Caja Operativo (x)</t>
        </is>
      </c>
      <c r="B18" s="131" t="inlineStr">
        <is>
          <t>Deuda Total / CFO</t>
        </is>
      </c>
      <c r="C18" s="173" t="inlineStr">
        <is>
          <t>Óptimo: &lt; 2.0x | Alerta: &gt; 4.0x</t>
        </is>
      </c>
      <c r="D18" s="127" t="n">
        <v>0.5600000000000001</v>
      </c>
      <c r="E18" s="127" t="n">
        <v>0.8100000000000001</v>
      </c>
      <c r="F18" s="127" t="n">
        <v>0.82</v>
      </c>
      <c r="G18" s="127" t="n">
        <v>0.95</v>
      </c>
      <c r="H18" s="127" t="n">
        <v>0.9</v>
      </c>
      <c r="I18" s="127" t="n">
        <v>1.14</v>
      </c>
      <c r="J18" s="127" t="n">
        <v>1.33</v>
      </c>
      <c r="K18" s="127" t="n">
        <v>1.47</v>
      </c>
      <c r="L18" s="127" t="n">
        <v>1.32</v>
      </c>
      <c r="M18" s="127" t="n">
        <v>1.63</v>
      </c>
      <c r="N18" s="127" t="n">
        <v>1.32</v>
      </c>
    </row>
    <row r="19" ht="22" customHeight="1" s="105">
      <c r="A19" s="138" t="inlineStr">
        <is>
          <t>Diagnóstico de Capacidad de Repago</t>
        </is>
      </c>
      <c r="B19" s="131" t="inlineStr">
        <is>
          <t>Evaluación de Amortización contra Caja</t>
        </is>
      </c>
      <c r="C19" s="173" t="inlineStr">
        <is>
          <t>Sostenibilidad de Deuda</t>
        </is>
      </c>
      <c r="D19" s="214" t="inlineStr">
        <is>
          <t>APALANCAMIENTO BAJO</t>
        </is>
      </c>
      <c r="E19" s="214" t="inlineStr">
        <is>
          <t>APALANCAMIENTO BAJO</t>
        </is>
      </c>
      <c r="F19" s="214" t="inlineStr">
        <is>
          <t>APALANCAMIENTO BAJO</t>
        </is>
      </c>
      <c r="G19" s="214" t="inlineStr">
        <is>
          <t>APALANCAMIENTO BAJO</t>
        </is>
      </c>
      <c r="H19" s="214" t="inlineStr">
        <is>
          <t>APALANCAMIENTO BAJO</t>
        </is>
      </c>
      <c r="I19" s="214" t="inlineStr">
        <is>
          <t>APALANCAMIENTO BAJO</t>
        </is>
      </c>
      <c r="J19" s="214" t="inlineStr">
        <is>
          <t>APALANCAMIENTO BAJO</t>
        </is>
      </c>
      <c r="K19" s="214" t="inlineStr">
        <is>
          <t>APALANCAMIENTO BAJO</t>
        </is>
      </c>
      <c r="L19" s="214" t="inlineStr">
        <is>
          <t>APALANCAMIENTO BAJO</t>
        </is>
      </c>
      <c r="M19" s="214" t="inlineStr">
        <is>
          <t>APALANCAMIENTO BAJO</t>
        </is>
      </c>
      <c r="N19" s="214" t="inlineStr">
        <is>
          <t>APALANCAMIENTO BAJO</t>
        </is>
      </c>
    </row>
    <row r="20" ht="56" customHeight="1" s="105">
      <c r="A20" s="208" t="inlineStr">
        <is>
          <t>Diagnóstico de Apalancamiento (LTM): Apalancamiento muy conservador (0.25x EBITDA). La empresa extinguiría su deuda neta en 0.3 años de beneficio operativo bruto.</t>
        </is>
      </c>
      <c r="B20" s="171" t="n"/>
      <c r="C20" s="171" t="n"/>
      <c r="D20" s="171" t="n"/>
      <c r="E20" s="171" t="n"/>
      <c r="F20" s="171" t="n"/>
      <c r="G20" s="171" t="n"/>
      <c r="H20" s="171" t="n"/>
      <c r="I20" s="171" t="n"/>
      <c r="J20" s="171" t="n"/>
      <c r="K20" s="171" t="n"/>
      <c r="L20" s="171" t="n"/>
      <c r="M20" s="171" t="n"/>
      <c r="N20" s="171" t="n"/>
    </row>
    <row r="21" ht="10" customHeight="1" s="105"/>
    <row r="22" ht="22" customHeight="1" s="105">
      <c r="A22" s="124" t="inlineStr">
        <is>
          <t>TABLA 2: COBERTURA DE CARGA FINANCIERA Y SERVICIO DE LA DEUDA (INTEREST COVERAGE)</t>
        </is>
      </c>
      <c r="B22" s="125" t="n"/>
      <c r="C22" s="125" t="n"/>
      <c r="D22" s="125" t="n"/>
      <c r="E22" s="125" t="n"/>
      <c r="F22" s="125" t="n"/>
      <c r="G22" s="125" t="n"/>
      <c r="H22" s="125" t="n"/>
      <c r="I22" s="125" t="n"/>
      <c r="J22" s="125" t="n"/>
      <c r="K22" s="125" t="n"/>
      <c r="L22" s="125" t="n"/>
      <c r="M22" s="125" t="n"/>
      <c r="N22" s="125" t="n"/>
    </row>
    <row r="23" ht="25" customHeight="1" s="105">
      <c r="A23" s="109" t="inlineStr">
        <is>
          <t>Ratio de Cobertura / Carga Financiera</t>
        </is>
      </c>
      <c r="B23" s="109" t="inlineStr">
        <is>
          <t>Definición / Fórmula de Cobertura</t>
        </is>
      </c>
      <c r="C23" s="111" t="inlineStr">
        <is>
          <t>Umbral de Solvencia Operativa</t>
        </is>
      </c>
      <c r="D23" s="110" t="inlineStr">
        <is>
          <t>LTM</t>
        </is>
      </c>
      <c r="E23" s="111" t="inlineStr">
        <is>
          <t>FY2025</t>
        </is>
      </c>
      <c r="F23" s="111" t="inlineStr">
        <is>
          <t>FY2024</t>
        </is>
      </c>
      <c r="G23" s="111" t="inlineStr">
        <is>
          <t>FY2023</t>
        </is>
      </c>
      <c r="H23" s="111" t="inlineStr">
        <is>
          <t>FY2022</t>
        </is>
      </c>
      <c r="I23" s="111" t="inlineStr">
        <is>
          <t>FY2021</t>
        </is>
      </c>
      <c r="J23" s="111" t="inlineStr">
        <is>
          <t>FY2020</t>
        </is>
      </c>
      <c r="K23" s="111" t="inlineStr">
        <is>
          <t>FY2019</t>
        </is>
      </c>
      <c r="L23" s="111" t="inlineStr">
        <is>
          <t>FY2018</t>
        </is>
      </c>
      <c r="M23" s="111" t="inlineStr">
        <is>
          <t>FY2017</t>
        </is>
      </c>
      <c r="N23" s="111" t="inlineStr">
        <is>
          <t>FY2016</t>
        </is>
      </c>
    </row>
    <row r="24" ht="18.5" customHeight="1" s="105">
      <c r="A24" s="112" t="inlineStr">
        <is>
          <t>(+) Utilidad Operativa EBIT ($M) [Operating Income]</t>
        </is>
      </c>
      <c r="B24" s="131" t="inlineStr">
        <is>
          <t>Resultado de Explotación Reportado</t>
        </is>
      </c>
      <c r="C24" s="173" t="inlineStr">
        <is>
          <t>Capacidad Operativa</t>
        </is>
      </c>
      <c r="D24" s="174" t="n">
        <v>0.154859</v>
      </c>
      <c r="E24" s="174" t="n">
        <v>0.13305</v>
      </c>
      <c r="F24" s="174" t="n">
        <v>0.123216</v>
      </c>
      <c r="G24" s="174" t="n">
        <v>0.114301</v>
      </c>
      <c r="H24" s="174" t="n">
        <v>0.119437</v>
      </c>
      <c r="I24" s="174" t="n">
        <v>0.108949</v>
      </c>
      <c r="J24" s="174" t="n">
        <v>66288</v>
      </c>
      <c r="K24" s="174" t="n">
        <v>63930</v>
      </c>
      <c r="L24" s="174" t="n">
        <v>70898</v>
      </c>
      <c r="M24" s="174" t="n">
        <v>61344</v>
      </c>
      <c r="N24" s="174" t="n">
        <v>60024</v>
      </c>
    </row>
    <row r="25" ht="18.5" customHeight="1" s="105">
      <c r="A25" s="112" t="inlineStr">
        <is>
          <t>(-) Flujo de Caja Operativo CFO ($M) [Cash Flow]</t>
        </is>
      </c>
      <c r="B25" s="131" t="inlineStr">
        <is>
          <t>Generación de Caja Operativa Real</t>
        </is>
      </c>
      <c r="C25" s="173" t="inlineStr">
        <is>
          <t>Capacidad Líquida</t>
        </is>
      </c>
      <c r="D25" s="180" t="inlineStr">
        <is>
          <t>-</t>
        </is>
      </c>
      <c r="E25" s="180" t="inlineStr">
        <is>
          <t>-</t>
        </is>
      </c>
      <c r="F25" s="180" t="inlineStr">
        <is>
          <t>-</t>
        </is>
      </c>
      <c r="G25" s="180" t="inlineStr">
        <is>
          <t>-</t>
        </is>
      </c>
      <c r="H25" s="180" t="inlineStr">
        <is>
          <t>-</t>
        </is>
      </c>
      <c r="I25" s="180" t="inlineStr">
        <is>
          <t>-</t>
        </is>
      </c>
      <c r="J25" s="180" t="inlineStr">
        <is>
          <t>-</t>
        </is>
      </c>
      <c r="K25" s="180" t="inlineStr">
        <is>
          <t>-</t>
        </is>
      </c>
      <c r="L25" s="180" t="inlineStr">
        <is>
          <t>-</t>
        </is>
      </c>
      <c r="M25" s="180" t="inlineStr">
        <is>
          <t>-</t>
        </is>
      </c>
      <c r="N25" s="180" t="inlineStr">
        <is>
          <t>-</t>
        </is>
      </c>
    </row>
    <row r="26" ht="18.5" customHeight="1" s="105">
      <c r="A26" s="118" t="inlineStr">
        <is>
          <t>(=) Gasto por Intereses ($M) [Interest Expense]</t>
        </is>
      </c>
      <c r="B26" s="194" t="inlineStr">
        <is>
          <t>Coste de Financiación de Deuda</t>
        </is>
      </c>
      <c r="C26" s="195" t="inlineStr">
        <is>
          <t>Carga Financiera Bruta</t>
        </is>
      </c>
      <c r="D26" s="175" t="n">
        <v>3705.6</v>
      </c>
      <c r="E26" s="175" t="n">
        <v>4080.5</v>
      </c>
      <c r="F26" s="175" t="n">
        <v>4349.8</v>
      </c>
      <c r="G26" s="175" t="n">
        <v>3933</v>
      </c>
      <c r="H26" s="175" t="n">
        <v>2931</v>
      </c>
      <c r="I26" s="175" t="n">
        <v>2645</v>
      </c>
      <c r="J26" s="175" t="n">
        <v>2873</v>
      </c>
      <c r="K26" s="175" t="n">
        <v>3576</v>
      </c>
      <c r="L26" s="175" t="n">
        <v>3240</v>
      </c>
      <c r="M26" s="175" t="n">
        <v>2323</v>
      </c>
      <c r="N26" s="175" t="n">
        <v>1456</v>
      </c>
    </row>
    <row r="27" ht="18.5" customHeight="1" s="105">
      <c r="A27" s="188" t="inlineStr">
        <is>
          <t>Cobertura de Intereses Operativa (EBIT / Intereses)</t>
        </is>
      </c>
      <c r="B27" s="197" t="inlineStr">
        <is>
          <t>EBIT / Gasto de Intereses</t>
        </is>
      </c>
      <c r="C27" s="198" t="inlineStr">
        <is>
          <t>Óptimo: &gt; 10.0x | Alerta: &lt; 2.5x</t>
        </is>
      </c>
      <c r="D27" s="209" t="n">
        <v>41.79</v>
      </c>
      <c r="E27" s="209" t="n">
        <v>32.61</v>
      </c>
      <c r="F27" s="209" t="n">
        <v>28.33</v>
      </c>
      <c r="G27" s="209" t="n">
        <v>29.06</v>
      </c>
      <c r="H27" s="209" t="n">
        <v>40.75</v>
      </c>
      <c r="I27" s="209" t="n">
        <v>41.19</v>
      </c>
      <c r="J27" s="209" t="n">
        <v>23.07</v>
      </c>
      <c r="K27" s="209" t="n">
        <v>17.88</v>
      </c>
      <c r="L27" s="209" t="n">
        <v>21.88</v>
      </c>
      <c r="M27" s="209" t="n">
        <v>26.41</v>
      </c>
      <c r="N27" s="209" t="n">
        <v>41.23</v>
      </c>
    </row>
    <row r="28" ht="18.5" customHeight="1" s="105">
      <c r="A28" s="112" t="inlineStr">
        <is>
          <t>Cobertura de Intereses en Caja (CFO / Intereses)</t>
        </is>
      </c>
      <c r="B28" s="131" t="inlineStr">
        <is>
          <t>CFO / Gasto de Intereses</t>
        </is>
      </c>
      <c r="C28" s="173" t="inlineStr">
        <is>
          <t>Óptimo: &gt; 8.0x | Alerta: &lt; 2.0x</t>
        </is>
      </c>
      <c r="D28" s="210" t="n">
        <v>39.6</v>
      </c>
      <c r="E28" s="210" t="n">
        <v>27.32</v>
      </c>
      <c r="F28" s="210" t="n">
        <v>27.19</v>
      </c>
      <c r="G28" s="210" t="n">
        <v>28.11</v>
      </c>
      <c r="H28" s="210" t="n">
        <v>41.68</v>
      </c>
      <c r="I28" s="210" t="n">
        <v>39.33</v>
      </c>
      <c r="J28" s="210" t="n">
        <v>28.08</v>
      </c>
      <c r="K28" s="210" t="n">
        <v>19.4</v>
      </c>
      <c r="L28" s="210" t="n">
        <v>23.9</v>
      </c>
      <c r="M28" s="210" t="n">
        <v>27.38</v>
      </c>
      <c r="N28" s="210" t="n">
        <v>41.01</v>
      </c>
    </row>
    <row r="29" ht="18.5" customHeight="1" s="105">
      <c r="A29" s="112" t="inlineStr">
        <is>
          <t>Carga Financiera sobre Caja (% Intereses / CFO)</t>
        </is>
      </c>
      <c r="B29" s="131" t="inlineStr">
        <is>
          <t>(Intereses / CFO) * 100</t>
        </is>
      </c>
      <c r="C29" s="173" t="inlineStr">
        <is>
          <t>Óptimo: &lt; 5.0% | Alerta: &gt; 20.0%</t>
        </is>
      </c>
      <c r="D29" s="211" t="n">
        <v>0.0253</v>
      </c>
      <c r="E29" s="211" t="n">
        <v>0.0366</v>
      </c>
      <c r="F29" s="211" t="n">
        <v>0.0368</v>
      </c>
      <c r="G29" s="211" t="n">
        <v>0.0356</v>
      </c>
      <c r="H29" s="211" t="n">
        <v>0.024</v>
      </c>
      <c r="I29" s="211" t="n">
        <v>0.0254</v>
      </c>
      <c r="J29" s="211" t="n">
        <v>0.0356</v>
      </c>
      <c r="K29" s="211" t="n">
        <v>0.0515</v>
      </c>
      <c r="L29" s="211" t="n">
        <v>0.0418</v>
      </c>
      <c r="M29" s="211" t="n">
        <v>0.0365</v>
      </c>
      <c r="N29" s="211" t="n">
        <v>0.0244</v>
      </c>
    </row>
    <row r="30" ht="22" customHeight="1" s="105">
      <c r="A30" s="138" t="inlineStr">
        <is>
          <t>Diagnóstico de Cobertura y Servicio</t>
        </is>
      </c>
      <c r="B30" s="131" t="inlineStr">
        <is>
          <t>Protección ante Tipos de Interés</t>
        </is>
      </c>
      <c r="C30" s="173" t="inlineStr">
        <is>
          <t>Resistencia Crediticia</t>
        </is>
      </c>
      <c r="D30" s="137" t="inlineStr">
        <is>
          <t>MÁXIMA PROTECCIÓN</t>
        </is>
      </c>
      <c r="E30" s="137" t="inlineStr">
        <is>
          <t>MÁXIMA PROTECCIÓN</t>
        </is>
      </c>
      <c r="F30" s="137" t="inlineStr">
        <is>
          <t>MÁXIMA PROTECCIÓN</t>
        </is>
      </c>
      <c r="G30" s="137" t="inlineStr">
        <is>
          <t>MÁXIMA PROTECCIÓN</t>
        </is>
      </c>
      <c r="H30" s="137" t="inlineStr">
        <is>
          <t>MÁXIMA PROTECCIÓN</t>
        </is>
      </c>
      <c r="I30" s="137" t="inlineStr">
        <is>
          <t>MÁXIMA PROTECCIÓN</t>
        </is>
      </c>
      <c r="J30" s="137" t="inlineStr">
        <is>
          <t>MÁXIMA PROTECCIÓN</t>
        </is>
      </c>
      <c r="K30" s="137" t="inlineStr">
        <is>
          <t>MÁXIMA PROTECCIÓN</t>
        </is>
      </c>
      <c r="L30" s="137" t="inlineStr">
        <is>
          <t>MÁXIMA PROTECCIÓN</t>
        </is>
      </c>
      <c r="M30" s="137" t="inlineStr">
        <is>
          <t>MÁXIMA PROTECCIÓN</t>
        </is>
      </c>
      <c r="N30" s="137" t="inlineStr">
        <is>
          <t>MÁXIMA PROTECCIÓN</t>
        </is>
      </c>
    </row>
    <row r="31" ht="40" customHeight="1" s="105">
      <c r="A31" s="208" t="inlineStr">
        <is>
          <t>Diagnóstico de Cobertura (LTM): Los beneficios operativos cubren 41.8 veces los intereses. Carga financiera insignificante (2.5% del CFO).</t>
        </is>
      </c>
      <c r="B31" s="171" t="n"/>
      <c r="C31" s="171" t="n"/>
      <c r="D31" s="171" t="n"/>
      <c r="E31" s="171" t="n"/>
      <c r="F31" s="171" t="n"/>
      <c r="G31" s="171" t="n"/>
      <c r="H31" s="171" t="n"/>
      <c r="I31" s="171" t="n"/>
      <c r="J31" s="171" t="n"/>
      <c r="K31" s="171" t="n"/>
      <c r="L31" s="171" t="n"/>
      <c r="M31" s="171" t="n"/>
      <c r="N31" s="171" t="n"/>
    </row>
    <row r="32" ht="10" customHeight="1" s="105"/>
    <row r="33" ht="22" customHeight="1" s="105">
      <c r="A33" s="124" t="inlineStr">
        <is>
          <t>TABLA 3: LIQUIDEZ ESTRICTA Y RIESGO DE REFINANCIACIÓN (ROLLOVER RISK)</t>
        </is>
      </c>
      <c r="B33" s="125" t="n"/>
      <c r="C33" s="125" t="n"/>
      <c r="D33" s="125" t="n"/>
      <c r="E33" s="125" t="n"/>
      <c r="F33" s="125" t="n"/>
      <c r="G33" s="125" t="n"/>
      <c r="H33" s="125" t="n"/>
      <c r="I33" s="125" t="n"/>
      <c r="J33" s="125" t="n"/>
      <c r="K33" s="125" t="n"/>
      <c r="L33" s="125" t="n"/>
      <c r="M33" s="125" t="n"/>
      <c r="N33" s="125" t="n"/>
    </row>
    <row r="34" ht="25" customHeight="1" s="105">
      <c r="A34" s="109" t="inlineStr">
        <is>
          <t>Ratio de Liquidez / Refinanciación</t>
        </is>
      </c>
      <c r="B34" s="109" t="inlineStr">
        <is>
          <t>Definición / Fórmula Contable</t>
        </is>
      </c>
      <c r="C34" s="111" t="inlineStr">
        <is>
          <t>Parámetro de Solvencia Inmediata</t>
        </is>
      </c>
      <c r="D34" s="110" t="inlineStr">
        <is>
          <t>LTM</t>
        </is>
      </c>
      <c r="E34" s="111" t="inlineStr">
        <is>
          <t>FY2025</t>
        </is>
      </c>
      <c r="F34" s="111" t="inlineStr">
        <is>
          <t>FY2024</t>
        </is>
      </c>
      <c r="G34" s="111" t="inlineStr">
        <is>
          <t>FY2023</t>
        </is>
      </c>
      <c r="H34" s="111" t="inlineStr">
        <is>
          <t>FY2022</t>
        </is>
      </c>
      <c r="I34" s="111" t="inlineStr">
        <is>
          <t>FY2021</t>
        </is>
      </c>
      <c r="J34" s="111" t="inlineStr">
        <is>
          <t>FY2020</t>
        </is>
      </c>
      <c r="K34" s="111" t="inlineStr">
        <is>
          <t>FY2019</t>
        </is>
      </c>
      <c r="L34" s="111" t="inlineStr">
        <is>
          <t>FY2018</t>
        </is>
      </c>
      <c r="M34" s="111" t="inlineStr">
        <is>
          <t>FY2017</t>
        </is>
      </c>
      <c r="N34" s="111" t="inlineStr">
        <is>
          <t>FY2016</t>
        </is>
      </c>
    </row>
    <row r="35" ht="18.5" customHeight="1" s="105">
      <c r="A35" s="112" t="inlineStr">
        <is>
          <t>(+) Caja y Equivalentes ($M) [Cash &amp; ST Investments]</t>
        </is>
      </c>
      <c r="B35" s="131" t="inlineStr">
        <is>
          <t>Efectivo Disponible Inmediato</t>
        </is>
      </c>
      <c r="C35" s="173" t="inlineStr">
        <is>
          <t>Tesorería Líquida</t>
        </is>
      </c>
      <c r="D35" s="174" t="n">
        <v>39544</v>
      </c>
      <c r="E35" s="174" t="n">
        <v>35934</v>
      </c>
      <c r="F35" s="174" t="n">
        <v>29943</v>
      </c>
      <c r="G35" s="174" t="n">
        <v>29965</v>
      </c>
      <c r="H35" s="174" t="n">
        <v>23646</v>
      </c>
      <c r="I35" s="174" t="n">
        <v>34940</v>
      </c>
      <c r="J35" s="174" t="n">
        <v>38016</v>
      </c>
      <c r="K35" s="174" t="n">
        <v>48844</v>
      </c>
      <c r="L35" s="174" t="n">
        <v>25913</v>
      </c>
      <c r="M35" s="174" t="n">
        <v>20289</v>
      </c>
      <c r="N35" s="174" t="n">
        <v>20484</v>
      </c>
    </row>
    <row r="36" ht="18.5" customHeight="1" s="105">
      <c r="A36" s="112" t="inlineStr">
        <is>
          <t>(+) Cuentas por Cobrar a Clientes ($M) [Receivables]</t>
        </is>
      </c>
      <c r="B36" s="131" t="inlineStr">
        <is>
          <t>Créditos Comerciales Pendientes</t>
        </is>
      </c>
      <c r="C36" s="173" t="inlineStr">
        <is>
          <t>Cobro &lt; 90 días</t>
        </is>
      </c>
      <c r="D36" s="174" t="n">
        <v>31398</v>
      </c>
      <c r="E36" s="174" t="n">
        <v>39777</v>
      </c>
      <c r="F36" s="174" t="n">
        <v>33410</v>
      </c>
      <c r="G36" s="174" t="n">
        <v>29508</v>
      </c>
      <c r="H36" s="174" t="n">
        <v>28184</v>
      </c>
      <c r="I36" s="174" t="n">
        <v>26278</v>
      </c>
      <c r="J36" s="174" t="n">
        <v>16120</v>
      </c>
      <c r="K36" s="174" t="n">
        <v>22926</v>
      </c>
      <c r="L36" s="174" t="n">
        <v>23186</v>
      </c>
      <c r="M36" s="174" t="n">
        <v>17874</v>
      </c>
      <c r="N36" s="174" t="n">
        <v>15754</v>
      </c>
    </row>
    <row r="37" ht="18.5" customHeight="1" s="105">
      <c r="A37" s="112" t="inlineStr">
        <is>
          <t>(-) Pasivo Corriente ($M) [Current Liabilities]</t>
        </is>
      </c>
      <c r="B37" s="131" t="inlineStr">
        <is>
          <t>Obligaciones Exigibles &lt; 12 meses</t>
        </is>
      </c>
      <c r="C37" s="173" t="inlineStr">
        <is>
          <t>Deuda Corto Plazo</t>
        </is>
      </c>
      <c r="D37" s="174" t="n">
        <v>0.149326</v>
      </c>
      <c r="E37" s="174" t="n">
        <v>0.165631</v>
      </c>
      <c r="F37" s="174" t="n">
        <v>0.176392</v>
      </c>
      <c r="G37" s="174" t="n">
        <v>0.145308</v>
      </c>
      <c r="H37" s="174" t="n">
        <v>0.153982</v>
      </c>
      <c r="I37" s="174" t="n">
        <v>0.125481</v>
      </c>
      <c r="J37" s="174" t="n">
        <v>0.105392</v>
      </c>
      <c r="K37" s="174" t="n">
        <v>0.105718</v>
      </c>
      <c r="L37" s="174" t="n">
        <v>0.116866</v>
      </c>
      <c r="M37" s="174" t="n">
        <v>0.100814</v>
      </c>
      <c r="N37" s="174" t="n">
        <v>79006</v>
      </c>
    </row>
    <row r="38" ht="18.5" customHeight="1" s="105">
      <c r="A38" s="112" t="inlineStr">
        <is>
          <t>Ratio de Liquidez Inmediata (Cash Ratio)</t>
        </is>
      </c>
      <c r="B38" s="131" t="inlineStr">
        <is>
          <t>Caja / Pasivo Corriente</t>
        </is>
      </c>
      <c r="C38" s="173" t="inlineStr">
        <is>
          <t>Óptimo: &gt; 0.50x | Alerta: &lt; 0.20x</t>
        </is>
      </c>
      <c r="D38" s="212" t="n">
        <v>0.26</v>
      </c>
      <c r="E38" s="212" t="n">
        <v>0.22</v>
      </c>
      <c r="F38" s="212" t="n">
        <v>0.17</v>
      </c>
      <c r="G38" s="212" t="n">
        <v>0.21</v>
      </c>
      <c r="H38" s="212" t="n">
        <v>0.15</v>
      </c>
      <c r="I38" s="212" t="n">
        <v>0.28</v>
      </c>
      <c r="J38" s="212" t="n">
        <v>0.36</v>
      </c>
      <c r="K38" s="212" t="n">
        <v>0.46</v>
      </c>
      <c r="L38" s="212" t="n">
        <v>0.22</v>
      </c>
      <c r="M38" s="212" t="n">
        <v>0.2</v>
      </c>
      <c r="N38" s="212" t="n">
        <v>0.26</v>
      </c>
    </row>
    <row r="39" ht="18.5" customHeight="1" s="105">
      <c r="A39" s="118" t="inlineStr">
        <is>
          <t>Test Ácido / Quick Ratio (Caja + AR / Pasivo Corr.)</t>
        </is>
      </c>
      <c r="B39" s="194" t="inlineStr">
        <is>
          <t>(Caja + Cobros) / Pasivo Corriente</t>
        </is>
      </c>
      <c r="C39" s="195" t="inlineStr">
        <is>
          <t>Óptimo: &gt; 1.20x | Alerta: &lt; 0.80x</t>
        </is>
      </c>
      <c r="D39" s="213" t="n">
        <v>0.48</v>
      </c>
      <c r="E39" s="213" t="n">
        <v>0.46</v>
      </c>
      <c r="F39" s="213" t="n">
        <v>0.36</v>
      </c>
      <c r="G39" s="213" t="n">
        <v>0.41</v>
      </c>
      <c r="H39" s="213" t="n">
        <v>0.34</v>
      </c>
      <c r="I39" s="213" t="n">
        <v>0.49</v>
      </c>
      <c r="J39" s="213" t="n">
        <v>0.51</v>
      </c>
      <c r="K39" s="213" t="n">
        <v>0.68</v>
      </c>
      <c r="L39" s="213" t="n">
        <v>0.42</v>
      </c>
      <c r="M39" s="213" t="n">
        <v>0.38</v>
      </c>
      <c r="N39" s="213" t="n">
        <v>0.46</v>
      </c>
    </row>
    <row r="40" ht="18.5" customHeight="1" s="105">
      <c r="A40" s="112" t="inlineStr">
        <is>
          <t>Ratio Corriente / Current Ratio (Act. Corr. / Pas. Corr.)</t>
        </is>
      </c>
      <c r="B40" s="131" t="inlineStr">
        <is>
          <t>Activo Corriente / Pasivo Corriente</t>
        </is>
      </c>
      <c r="C40" s="173" t="inlineStr">
        <is>
          <t>Óptimo: &gt; 1.50x | Alerta: &lt; 1.00x</t>
        </is>
      </c>
      <c r="D40" s="212" t="n">
        <v>1</v>
      </c>
      <c r="E40" s="212" t="n">
        <v>0.89</v>
      </c>
      <c r="F40" s="212" t="n">
        <v>0.87</v>
      </c>
      <c r="G40" s="212" t="n">
        <v>0.99</v>
      </c>
      <c r="H40" s="212" t="n">
        <v>0.88</v>
      </c>
      <c r="I40" s="212" t="n">
        <v>1.07</v>
      </c>
      <c r="J40" s="212" t="n">
        <v>1.36</v>
      </c>
      <c r="K40" s="212" t="n">
        <v>1.54</v>
      </c>
      <c r="L40" s="212" t="n">
        <v>1.12</v>
      </c>
      <c r="M40" s="212" t="n">
        <v>1.28</v>
      </c>
      <c r="N40" s="212" t="n">
        <v>1.35</v>
      </c>
    </row>
    <row r="41" ht="18.5" customHeight="1" s="105">
      <c r="A41" s="112" t="inlineStr">
        <is>
          <t>Deuda Financiera a Corto Plazo ($M) [ST Debt]</t>
        </is>
      </c>
      <c r="B41" s="131" t="inlineStr">
        <is>
          <t>Vencimientos de Deuda &lt; 1 Año</t>
        </is>
      </c>
      <c r="C41" s="173" t="inlineStr">
        <is>
          <t>Exigibilidad Inmediata</t>
        </is>
      </c>
      <c r="D41" s="174" t="n">
        <v>11007</v>
      </c>
      <c r="E41" s="174" t="n">
        <v>12350</v>
      </c>
      <c r="F41" s="174" t="n">
        <v>10912</v>
      </c>
      <c r="G41" s="174" t="n">
        <v>9822</v>
      </c>
      <c r="H41" s="174" t="n">
        <v>11128</v>
      </c>
      <c r="I41" s="174" t="n">
        <v>9613</v>
      </c>
      <c r="J41" s="174" t="n">
        <v>8773</v>
      </c>
      <c r="K41" s="174" t="n">
        <v>10260</v>
      </c>
      <c r="L41" s="174" t="n">
        <v>8784</v>
      </c>
      <c r="M41" s="174" t="n">
        <v>6496</v>
      </c>
      <c r="N41" s="174" t="n">
        <v>3500</v>
      </c>
    </row>
    <row r="42" ht="18.5" customHeight="1" s="105">
      <c r="A42" s="188" t="inlineStr">
        <is>
          <t>Riesgo de Refinanciación (% Deuda Corto Plazo / Total)</t>
        </is>
      </c>
      <c r="B42" s="197" t="inlineStr">
        <is>
          <t>(Deuda CP / Deuda Total) * 100</t>
        </is>
      </c>
      <c r="C42" s="198" t="inlineStr">
        <is>
          <t>Óptimo: &lt; 25.0% | Alerta: &gt; 50.0%</t>
        </is>
      </c>
      <c r="D42" s="176" t="n">
        <v>0.1337</v>
      </c>
      <c r="E42" s="176" t="n">
        <v>0.1362</v>
      </c>
      <c r="F42" s="176" t="n">
        <v>0.1129</v>
      </c>
      <c r="G42" s="176" t="n">
        <v>0.0935</v>
      </c>
      <c r="H42" s="176" t="n">
        <v>0.1011</v>
      </c>
      <c r="I42" s="176" t="n">
        <v>0.081</v>
      </c>
      <c r="J42" s="176" t="n">
        <v>0.08169999999999999</v>
      </c>
      <c r="K42" s="176" t="n">
        <v>0.1005</v>
      </c>
      <c r="L42" s="176" t="n">
        <v>0.0857</v>
      </c>
      <c r="M42" s="176" t="n">
        <v>0.0626</v>
      </c>
      <c r="N42" s="176" t="n">
        <v>0.0443</v>
      </c>
    </row>
    <row r="43" ht="22" customHeight="1" s="105">
      <c r="A43" s="138" t="inlineStr">
        <is>
          <t>Diagnóstico de Liquidez y Refinanciación</t>
        </is>
      </c>
      <c r="B43" s="131" t="inlineStr">
        <is>
          <t>Salud de Tesorería y Calendario de Deuda</t>
        </is>
      </c>
      <c r="C43" s="173" t="inlineStr">
        <is>
          <t>Riesgo de Liquidez</t>
        </is>
      </c>
      <c r="D43" s="163" t="inlineStr">
        <is>
          <t>LIQUIDEZ AJUSTADA</t>
        </is>
      </c>
      <c r="E43" s="163" t="inlineStr">
        <is>
          <t>LIQUIDEZ AJUSTADA</t>
        </is>
      </c>
      <c r="F43" s="163" t="inlineStr">
        <is>
          <t>LIQUIDEZ AJUSTADA</t>
        </is>
      </c>
      <c r="G43" s="163" t="inlineStr">
        <is>
          <t>LIQUIDEZ AJUSTADA</t>
        </is>
      </c>
      <c r="H43" s="163" t="inlineStr">
        <is>
          <t>LIQUIDEZ AJUSTADA</t>
        </is>
      </c>
      <c r="I43" s="163" t="inlineStr">
        <is>
          <t>LIQUIDEZ AJUSTADA</t>
        </is>
      </c>
      <c r="J43" s="163" t="inlineStr">
        <is>
          <t>LIQUIDEZ AJUSTADA</t>
        </is>
      </c>
      <c r="K43" s="163" t="inlineStr">
        <is>
          <t>LIQUIDEZ AJUSTADA</t>
        </is>
      </c>
      <c r="L43" s="163" t="inlineStr">
        <is>
          <t>LIQUIDEZ AJUSTADA</t>
        </is>
      </c>
      <c r="M43" s="163" t="inlineStr">
        <is>
          <t>LIQUIDEZ AJUSTADA</t>
        </is>
      </c>
      <c r="N43" s="163" t="inlineStr">
        <is>
          <t>LIQUIDEZ AJUSTADA</t>
        </is>
      </c>
    </row>
    <row r="44" ht="56" customHeight="1" s="105">
      <c r="A44" s="208" t="inlineStr">
        <is>
          <t>Diagnóstico de Liquidez (LTM): Quick ratio de 0.48x. Típico en empresas con poder de negociación que financian operaciones con proveedores (Working Capital negativo).</t>
        </is>
      </c>
      <c r="B44" s="171" t="n"/>
      <c r="C44" s="171" t="n"/>
      <c r="D44" s="171" t="n"/>
      <c r="E44" s="171" t="n"/>
      <c r="F44" s="171" t="n"/>
      <c r="G44" s="171" t="n"/>
      <c r="H44" s="171" t="n"/>
      <c r="I44" s="171" t="n"/>
      <c r="J44" s="171" t="n"/>
      <c r="K44" s="171" t="n"/>
      <c r="L44" s="171" t="n"/>
      <c r="M44" s="171" t="n"/>
      <c r="N44" s="171" t="n"/>
    </row>
    <row r="45" ht="10" customHeight="1" s="105"/>
    <row r="46" ht="22" customHeight="1" s="105">
      <c r="A46" s="124" t="inlineStr">
        <is>
          <t>TABLA 4: MODELOS PREDICTIVOS DE QUIEBRA Y RATING SINTÉTICO (ALTMAN Z'' &amp; DAMODARAN)</t>
        </is>
      </c>
      <c r="B46" s="125" t="n"/>
      <c r="C46" s="125" t="n"/>
      <c r="D46" s="125" t="n"/>
      <c r="E46" s="125" t="n"/>
      <c r="F46" s="125" t="n"/>
      <c r="G46" s="125" t="n"/>
      <c r="H46" s="125" t="n"/>
      <c r="I46" s="125" t="n"/>
      <c r="J46" s="125" t="n"/>
      <c r="K46" s="125" t="n"/>
      <c r="L46" s="125" t="n"/>
      <c r="M46" s="125" t="n"/>
      <c r="N46" s="125" t="n"/>
    </row>
    <row r="47" ht="25" customHeight="1" s="105">
      <c r="A47" s="109" t="inlineStr">
        <is>
          <t>Modelo / Métrica de Estrés e Insolvencia</t>
        </is>
      </c>
      <c r="B47" s="109" t="inlineStr">
        <is>
          <t>Definición / Fórmula Econométrica</t>
        </is>
      </c>
      <c r="C47" s="111" t="inlineStr">
        <is>
          <t>Clasificación de Riesgo Crediticio</t>
        </is>
      </c>
      <c r="D47" s="110" t="inlineStr">
        <is>
          <t>LTM</t>
        </is>
      </c>
      <c r="E47" s="111" t="inlineStr">
        <is>
          <t>FY2025</t>
        </is>
      </c>
      <c r="F47" s="111" t="inlineStr">
        <is>
          <t>FY2024</t>
        </is>
      </c>
      <c r="G47" s="111" t="inlineStr">
        <is>
          <t>FY2023</t>
        </is>
      </c>
      <c r="H47" s="111" t="inlineStr">
        <is>
          <t>FY2022</t>
        </is>
      </c>
      <c r="I47" s="111" t="inlineStr">
        <is>
          <t>FY2021</t>
        </is>
      </c>
      <c r="J47" s="111" t="inlineStr">
        <is>
          <t>FY2020</t>
        </is>
      </c>
      <c r="K47" s="111" t="inlineStr">
        <is>
          <t>FY2019</t>
        </is>
      </c>
      <c r="L47" s="111" t="inlineStr">
        <is>
          <t>FY2018</t>
        </is>
      </c>
      <c r="M47" s="111" t="inlineStr">
        <is>
          <t>FY2017</t>
        </is>
      </c>
      <c r="N47" s="111" t="inlineStr">
        <is>
          <t>FY2016</t>
        </is>
      </c>
    </row>
    <row r="48" ht="18.5" customHeight="1" s="105">
      <c r="A48" s="112" t="inlineStr">
        <is>
          <t>Componente X1: Fondo de Maniobra / Activos</t>
        </is>
      </c>
      <c r="B48" s="131" t="inlineStr">
        <is>
          <t>(Activo Corriente - Pasivo Corriente) / Activos</t>
        </is>
      </c>
      <c r="C48" s="173" t="inlineStr">
        <is>
          <t>Liquidez Relativa de Balance</t>
        </is>
      </c>
      <c r="D48" s="202" t="n">
        <v>0.0013</v>
      </c>
      <c r="E48" s="202" t="n">
        <v>-0.0492</v>
      </c>
      <c r="F48" s="202" t="n">
        <v>-0.0641</v>
      </c>
      <c r="G48" s="202" t="n">
        <v>-0.0049</v>
      </c>
      <c r="H48" s="202" t="n">
        <v>-0.0527</v>
      </c>
      <c r="I48" s="202" t="n">
        <v>0.0267</v>
      </c>
      <c r="J48" s="202" t="n">
        <v>0.1183</v>
      </c>
      <c r="K48" s="202" t="n">
        <v>0.1687</v>
      </c>
      <c r="L48" s="202" t="n">
        <v>0.0396</v>
      </c>
      <c r="M48" s="202" t="n">
        <v>0.0742</v>
      </c>
      <c r="N48" s="202" t="n">
        <v>0.0866</v>
      </c>
    </row>
    <row r="49" ht="18.5" customHeight="1" s="105">
      <c r="A49" s="112" t="inlineStr">
        <is>
          <t>Componente X2: Resultados Acumulados / Activos</t>
        </is>
      </c>
      <c r="B49" s="131" t="inlineStr">
        <is>
          <t>Retained Earnings / Activos Totales</t>
        </is>
      </c>
      <c r="C49" s="173" t="inlineStr">
        <is>
          <t>Autofinanciación Histórica</t>
        </is>
      </c>
      <c r="D49" s="202" t="n">
        <v>0.0296</v>
      </c>
      <c r="E49" s="202" t="n">
        <v>-0.0397</v>
      </c>
      <c r="F49" s="202" t="n">
        <v>-0.0525</v>
      </c>
      <c r="G49" s="202" t="n">
        <v>-0.0005999999999999999</v>
      </c>
      <c r="H49" s="202" t="n">
        <v>-0.008699999999999999</v>
      </c>
      <c r="I49" s="202" t="n">
        <v>0.0158</v>
      </c>
      <c r="J49" s="202" t="n">
        <v>0.0462</v>
      </c>
      <c r="K49" s="202" t="n">
        <v>0.1356</v>
      </c>
      <c r="L49" s="202" t="n">
        <v>0.1925</v>
      </c>
      <c r="M49" s="202" t="n">
        <v>0.262</v>
      </c>
      <c r="N49" s="202" t="n">
        <v>0.2996</v>
      </c>
    </row>
    <row r="50" ht="18.5" customHeight="1" s="105">
      <c r="A50" s="112" t="inlineStr">
        <is>
          <t>Componente X3: EBIT / Activos Totales</t>
        </is>
      </c>
      <c r="B50" s="131" t="inlineStr">
        <is>
          <t>Beneficio Operativo / Activos Totales</t>
        </is>
      </c>
      <c r="C50" s="173" t="inlineStr">
        <is>
          <t>Productividad Pura de Activos</t>
        </is>
      </c>
      <c r="D50" s="202" t="n">
        <v>0.4041</v>
      </c>
      <c r="E50" s="202" t="n">
        <v>0.3704</v>
      </c>
      <c r="F50" s="202" t="n">
        <v>0.3376</v>
      </c>
      <c r="G50" s="202" t="n">
        <v>0.3242</v>
      </c>
      <c r="H50" s="202" t="n">
        <v>0.3386</v>
      </c>
      <c r="I50" s="202" t="n">
        <v>0.3104</v>
      </c>
      <c r="J50" s="202" t="n">
        <v>0.2047</v>
      </c>
      <c r="K50" s="202" t="n">
        <v>0.1889</v>
      </c>
      <c r="L50" s="202" t="n">
        <v>0.1939</v>
      </c>
      <c r="M50" s="202" t="n">
        <v>0.1634</v>
      </c>
      <c r="N50" s="202" t="n">
        <v>0.1866</v>
      </c>
    </row>
    <row r="51" ht="18.5" customHeight="1" s="105">
      <c r="A51" s="112" t="inlineStr">
        <is>
          <t>Componente X4: Patrimonio Neto / Pasivos Totales</t>
        </is>
      </c>
      <c r="B51" s="131" t="inlineStr">
        <is>
          <t>Stockholders' Equity / Total Liabilities</t>
        </is>
      </c>
      <c r="C51" s="173" t="inlineStr">
        <is>
          <t>Colchón de Solvencia Patrimonial</t>
        </is>
      </c>
      <c r="D51" s="202" t="n">
        <v>0.3899</v>
      </c>
      <c r="E51" s="202" t="n">
        <v>0.2583</v>
      </c>
      <c r="F51" s="202" t="n">
        <v>0.1849</v>
      </c>
      <c r="G51" s="202" t="n">
        <v>0.214</v>
      </c>
      <c r="H51" s="202" t="n">
        <v>0.1677</v>
      </c>
      <c r="I51" s="202" t="n">
        <v>0.2191</v>
      </c>
      <c r="J51" s="202" t="n">
        <v>0.2527</v>
      </c>
      <c r="K51" s="202" t="n">
        <v>0.3648</v>
      </c>
      <c r="L51" s="202" t="n">
        <v>0.4144</v>
      </c>
      <c r="M51" s="202" t="n">
        <v>0.5556</v>
      </c>
      <c r="N51" s="202" t="n">
        <v>0.663</v>
      </c>
    </row>
    <row r="52" ht="18.5" customHeight="1" s="105">
      <c r="A52" s="188" t="inlineStr">
        <is>
          <t>(=) ALTMAN Z''-SCORE TOTAL (Modelo 4 Variables)</t>
        </is>
      </c>
      <c r="B52" s="197" t="inlineStr">
        <is>
          <t>6.56*X1 + 3.26*X2 + 6.72*X3 + 1.05*X4</t>
        </is>
      </c>
      <c r="C52" s="198" t="inlineStr">
        <is>
          <t>Segura: &gt; 2.60 | Distress: &lt; 1.10</t>
        </is>
      </c>
      <c r="D52" s="203" t="n">
        <v>3.23</v>
      </c>
      <c r="E52" s="203" t="n">
        <v>2.31</v>
      </c>
      <c r="F52" s="203" t="n">
        <v>1.87</v>
      </c>
      <c r="G52" s="203" t="n">
        <v>2.37</v>
      </c>
      <c r="H52" s="203" t="n">
        <v>2.08</v>
      </c>
      <c r="I52" s="203" t="n">
        <v>2.54</v>
      </c>
      <c r="J52" s="203" t="n">
        <v>2.57</v>
      </c>
      <c r="K52" s="203" t="n">
        <v>3.2</v>
      </c>
      <c r="L52" s="203" t="n">
        <v>2.63</v>
      </c>
      <c r="M52" s="203" t="n">
        <v>3.02</v>
      </c>
      <c r="N52" s="203" t="n">
        <v>3.49</v>
      </c>
    </row>
    <row r="53" ht="18.5" customHeight="1" s="105">
      <c r="A53" s="138" t="inlineStr">
        <is>
          <t>Zona de Riesgo de Quiebra Altman</t>
        </is>
      </c>
      <c r="B53" s="131" t="inlineStr">
        <is>
          <t>Dictamen Econométrico de Insolvencia</t>
        </is>
      </c>
      <c r="C53" s="173" t="inlineStr">
        <is>
          <t>Probabilidad de Default a 2 Años</t>
        </is>
      </c>
      <c r="D53" s="214" t="inlineStr">
        <is>
          <t>ZONA SEGURA (BAJO RIESGO DE QUIEBRA)</t>
        </is>
      </c>
      <c r="E53" s="163" t="inlineStr">
        <is>
          <t>ZONA GRIS (PRECAUCIÓN Y SEGUIMIENTO)</t>
        </is>
      </c>
      <c r="F53" s="163" t="inlineStr">
        <is>
          <t>ZONA GRIS (PRECAUCIÓN Y SEGUIMIENTO)</t>
        </is>
      </c>
      <c r="G53" s="163" t="inlineStr">
        <is>
          <t>ZONA GRIS (PRECAUCIÓN Y SEGUIMIENTO)</t>
        </is>
      </c>
      <c r="H53" s="163" t="inlineStr">
        <is>
          <t>ZONA GRIS (PRECAUCIÓN Y SEGUIMIENTO)</t>
        </is>
      </c>
      <c r="I53" s="163" t="inlineStr">
        <is>
          <t>ZONA GRIS (PRECAUCIÓN Y SEGUIMIENTO)</t>
        </is>
      </c>
      <c r="J53" s="163" t="inlineStr">
        <is>
          <t>ZONA GRIS (PRECAUCIÓN Y SEGUIMIENTO)</t>
        </is>
      </c>
      <c r="K53" s="214" t="inlineStr">
        <is>
          <t>ZONA SEGURA (BAJO RIESGO DE QUIEBRA)</t>
        </is>
      </c>
      <c r="L53" s="214" t="inlineStr">
        <is>
          <t>ZONA SEGURA (BAJO RIESGO DE QUIEBRA)</t>
        </is>
      </c>
      <c r="M53" s="214" t="inlineStr">
        <is>
          <t>ZONA SEGURA (BAJO RIESGO DE QUIEBRA)</t>
        </is>
      </c>
      <c r="N53" s="214" t="inlineStr">
        <is>
          <t>ZONA SEGURA (BAJO RIESGO DE QUIEBRA)</t>
        </is>
      </c>
    </row>
    <row r="54" ht="18.5" customHeight="1" s="105">
      <c r="A54" s="188" t="inlineStr">
        <is>
          <t>(=) Rating Crediticio Sintético (Damodaran)</t>
        </is>
      </c>
      <c r="B54" s="197" t="inlineStr">
        <is>
          <t>Equivalencia S&amp;P / Moody's según Cobertura</t>
        </is>
      </c>
      <c r="C54" s="198" t="inlineStr">
        <is>
          <t>Grado de Inversión (AAA a BBB-)</t>
        </is>
      </c>
      <c r="D54" s="190" t="inlineStr">
        <is>
          <t>AAA</t>
        </is>
      </c>
      <c r="E54" s="190" t="inlineStr">
        <is>
          <t>AAA</t>
        </is>
      </c>
      <c r="F54" s="190" t="inlineStr">
        <is>
          <t>AAA</t>
        </is>
      </c>
      <c r="G54" s="190" t="inlineStr">
        <is>
          <t>AAA</t>
        </is>
      </c>
      <c r="H54" s="190" t="inlineStr">
        <is>
          <t>AAA</t>
        </is>
      </c>
      <c r="I54" s="190" t="inlineStr">
        <is>
          <t>AAA</t>
        </is>
      </c>
      <c r="J54" s="190" t="inlineStr">
        <is>
          <t>AAA</t>
        </is>
      </c>
      <c r="K54" s="190" t="inlineStr">
        <is>
          <t>AAA</t>
        </is>
      </c>
      <c r="L54" s="190" t="inlineStr">
        <is>
          <t>AAA</t>
        </is>
      </c>
      <c r="M54" s="190" t="inlineStr">
        <is>
          <t>AAA</t>
        </is>
      </c>
      <c r="N54" s="190" t="inlineStr">
        <is>
          <t>AAA</t>
        </is>
      </c>
    </row>
    <row r="55" ht="18.5" customHeight="1" s="105">
      <c r="A55" s="112" t="inlineStr">
        <is>
          <t>Calificación Detallada del Emisor</t>
        </is>
      </c>
      <c r="B55" s="131" t="inlineStr">
        <is>
          <t>Descripción Institucional del Rating</t>
        </is>
      </c>
      <c r="C55" s="173" t="inlineStr">
        <is>
          <t>Categoría de Calidad Crediticia</t>
        </is>
      </c>
      <c r="D55" s="153" t="inlineStr">
        <is>
          <t>GRADO INSTITUCIONAL MÁXIMO (AAA / Aaa)</t>
        </is>
      </c>
      <c r="E55" s="153" t="inlineStr">
        <is>
          <t>GRADO INSTITUCIONAL MÁXIMO (AAA / Aaa)</t>
        </is>
      </c>
      <c r="F55" s="153" t="inlineStr">
        <is>
          <t>GRADO INSTITUCIONAL MÁXIMO (AAA / Aaa)</t>
        </is>
      </c>
      <c r="G55" s="153" t="inlineStr">
        <is>
          <t>GRADO INSTITUCIONAL MÁXIMO (AAA / Aaa)</t>
        </is>
      </c>
      <c r="H55" s="153" t="inlineStr">
        <is>
          <t>GRADO INSTITUCIONAL MÁXIMO (AAA / Aaa)</t>
        </is>
      </c>
      <c r="I55" s="153" t="inlineStr">
        <is>
          <t>GRADO INSTITUCIONAL MÁXIMO (AAA / Aaa)</t>
        </is>
      </c>
      <c r="J55" s="153" t="inlineStr">
        <is>
          <t>GRADO INSTITUCIONAL MÁXIMO (AAA / Aaa)</t>
        </is>
      </c>
      <c r="K55" s="153" t="inlineStr">
        <is>
          <t>GRADO INSTITUCIONAL MÁXIMO (AAA / Aaa)</t>
        </is>
      </c>
      <c r="L55" s="153" t="inlineStr">
        <is>
          <t>GRADO INSTITUCIONAL MÁXIMO (AAA / Aaa)</t>
        </is>
      </c>
      <c r="M55" s="153" t="inlineStr">
        <is>
          <t>GRADO INSTITUCIONAL MÁXIMO (AAA / Aaa)</t>
        </is>
      </c>
      <c r="N55" s="153" t="inlineStr">
        <is>
          <t>GRADO INSTITUCIONAL MÁXIMO (AAA / Aaa)</t>
        </is>
      </c>
    </row>
    <row r="56" ht="18.5" customHeight="1" s="105">
      <c r="A56" s="112" t="inlineStr">
        <is>
          <t>Diferencial de Crédito Teórico (Spread %)</t>
        </is>
      </c>
      <c r="B56" s="131" t="inlineStr">
        <is>
          <t>Spread Estimado sobre Tipo Libre de Riesgo</t>
        </is>
      </c>
      <c r="C56" s="173" t="inlineStr">
        <is>
          <t>Coste de Financiación Marginal</t>
        </is>
      </c>
      <c r="D56" s="126" t="n">
        <v>0.006</v>
      </c>
      <c r="E56" s="126" t="n">
        <v>0.006</v>
      </c>
      <c r="F56" s="126" t="n">
        <v>0.006</v>
      </c>
      <c r="G56" s="126" t="n">
        <v>0.006</v>
      </c>
      <c r="H56" s="126" t="n">
        <v>0.006</v>
      </c>
      <c r="I56" s="126" t="n">
        <v>0.006</v>
      </c>
      <c r="J56" s="126" t="n">
        <v>0.006</v>
      </c>
      <c r="K56" s="126" t="n">
        <v>0.006</v>
      </c>
      <c r="L56" s="126" t="n">
        <v>0.006</v>
      </c>
      <c r="M56" s="126" t="n">
        <v>0.006</v>
      </c>
      <c r="N56" s="126" t="n">
        <v>0.006</v>
      </c>
    </row>
    <row r="57" ht="18.5" customHeight="1" s="105">
      <c r="A57" s="112" t="inlineStr">
        <is>
          <t>Probabilidad Estadística de Default (%)</t>
        </is>
      </c>
      <c r="B57" s="131" t="inlineStr">
        <is>
          <t>Frecuencia Histórica de Impago Acumulada</t>
        </is>
      </c>
      <c r="C57" s="173" t="inlineStr">
        <is>
          <t>Estadística S&amp;P a 10 Años</t>
        </is>
      </c>
      <c r="D57" s="153" t="inlineStr">
        <is>
          <t>&lt; 0.2%</t>
        </is>
      </c>
      <c r="E57" s="153" t="inlineStr">
        <is>
          <t>&lt; 0.2%</t>
        </is>
      </c>
      <c r="F57" s="153" t="inlineStr">
        <is>
          <t>&lt; 0.2%</t>
        </is>
      </c>
      <c r="G57" s="153" t="inlineStr">
        <is>
          <t>&lt; 0.2%</t>
        </is>
      </c>
      <c r="H57" s="153" t="inlineStr">
        <is>
          <t>&lt; 0.2%</t>
        </is>
      </c>
      <c r="I57" s="153" t="inlineStr">
        <is>
          <t>&lt; 0.2%</t>
        </is>
      </c>
      <c r="J57" s="153" t="inlineStr">
        <is>
          <t>&lt; 0.2%</t>
        </is>
      </c>
      <c r="K57" s="153" t="inlineStr">
        <is>
          <t>&lt; 0.2%</t>
        </is>
      </c>
      <c r="L57" s="153" t="inlineStr">
        <is>
          <t>&lt; 0.2%</t>
        </is>
      </c>
      <c r="M57" s="153" t="inlineStr">
        <is>
          <t>&lt; 0.2%</t>
        </is>
      </c>
      <c r="N57" s="153" t="inlineStr">
        <is>
          <t>&lt; 0.2%</t>
        </is>
      </c>
    </row>
  </sheetData>
  <mergeCells count="4">
    <mergeCell ref="B5:N5"/>
    <mergeCell ref="A20:N20"/>
    <mergeCell ref="A31:N31"/>
    <mergeCell ref="A44:N44"/>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59"/>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14" customWidth="1" style="105" min="1" max="1"/>
    <col width="32" customWidth="1" style="105" min="2" max="2"/>
    <col width="18" customWidth="1" style="105" min="3" max="3"/>
    <col width="18" customWidth="1" style="105" min="4" max="4"/>
    <col width="18" customWidth="1" style="105" min="5" max="5"/>
    <col width="18" customWidth="1" style="105" min="6" max="6"/>
    <col width="18" customWidth="1" style="105" min="7" max="7"/>
  </cols>
  <sheetData>
    <row r="1" ht="30" customHeight="1" s="105">
      <c r="A1" s="107" t="inlineStr">
        <is>
          <t>Apple Inc. (AAPL) - Conciliación Tripartita de Integridad Contable</t>
        </is>
      </c>
    </row>
    <row r="2" ht="18" customHeight="1" s="105">
      <c r="A2" s="108" t="inlineStr">
        <is>
          <t>Cotejo cruzado: SEC EDGAR XBRL (Oficial) vs. SEC Company Facts API vs. Terminales de Mercado (fiscal.ai / Tikr)</t>
        </is>
      </c>
    </row>
    <row r="3" ht="8" customHeight="1" s="105"/>
    <row r="4" ht="25" customHeight="1" s="105">
      <c r="A4" s="111" t="inlineStr">
        <is>
          <t>Período</t>
        </is>
      </c>
      <c r="B4" s="109" t="inlineStr">
        <is>
          <t>Métrica / Partida Contable</t>
        </is>
      </c>
      <c r="C4" s="204" t="inlineStr">
        <is>
          <t>SEC EDGAR (As-Reported)</t>
        </is>
      </c>
      <c r="D4" s="204" t="inlineStr">
        <is>
          <t>Cifra Ajustada (Split/Norm)</t>
        </is>
      </c>
      <c r="E4" s="204" t="inlineStr">
        <is>
          <t>Mercado (fiscal.ai / Tikr)</t>
        </is>
      </c>
      <c r="F4" s="111" t="inlineStr">
        <is>
          <t>Dictamen de Auditoría</t>
        </is>
      </c>
      <c r="G4" s="109" t="inlineStr">
        <is>
          <t>Trazabilidad &amp; Explicación Matemática</t>
        </is>
      </c>
    </row>
    <row r="5" ht="18.5" customHeight="1" s="105">
      <c r="A5" s="153" t="inlineStr">
        <is>
          <t>LTM</t>
        </is>
      </c>
      <c r="B5" s="154" t="inlineStr">
        <is>
          <t>Ingresos Totales (Revenue)</t>
        </is>
      </c>
      <c r="C5" s="205" t="inlineStr">
        <is>
          <t>$466,823.0M</t>
        </is>
      </c>
      <c r="D5" s="205" t="inlineStr">
        <is>
          <t>-</t>
        </is>
      </c>
      <c r="E5" s="205" t="inlineStr">
        <is>
          <t>$466,823.0M</t>
        </is>
      </c>
      <c r="F5" s="214" t="inlineStr">
        <is>
          <t>✅ 100% MATCH</t>
        </is>
      </c>
      <c r="G5" s="154" t="inlineStr">
        <is>
          <t xml:space="preserve">Coincidencia 100% con fiscal.ai/Tikr (0.000% var). </t>
        </is>
      </c>
    </row>
    <row r="6" ht="18.5" customHeight="1" s="105">
      <c r="A6" s="153" t="inlineStr">
        <is>
          <t>LTM</t>
        </is>
      </c>
      <c r="B6" s="154" t="inlineStr">
        <is>
          <t>Beneficio Neto (Net Income)</t>
        </is>
      </c>
      <c r="C6" s="205" t="inlineStr">
        <is>
          <t>$128,930.0M</t>
        </is>
      </c>
      <c r="D6" s="205" t="inlineStr">
        <is>
          <t>-</t>
        </is>
      </c>
      <c r="E6" s="205" t="inlineStr">
        <is>
          <t>-</t>
        </is>
      </c>
      <c r="F6" s="214" t="inlineStr">
        <is>
          <t>✅ 100% MATCH</t>
        </is>
      </c>
      <c r="G6" s="154" t="inlineStr">
        <is>
          <t>Cifras oficiales de la SEC y agregadores coinciden al 100%.</t>
        </is>
      </c>
    </row>
    <row r="7" ht="18.5" customHeight="1" s="105">
      <c r="A7" s="153" t="inlineStr">
        <is>
          <t>LTM</t>
        </is>
      </c>
      <c r="B7" s="154" t="inlineStr">
        <is>
          <t>Flujo de Caja Operativo (CFO)</t>
        </is>
      </c>
      <c r="C7" s="205" t="inlineStr">
        <is>
          <t>$146,724.0M</t>
        </is>
      </c>
      <c r="D7" s="205" t="inlineStr">
        <is>
          <t>-</t>
        </is>
      </c>
      <c r="E7" s="205" t="inlineStr">
        <is>
          <t>-</t>
        </is>
      </c>
      <c r="F7" s="214" t="inlineStr">
        <is>
          <t>✅ 100% MATCH</t>
        </is>
      </c>
      <c r="G7" s="154" t="inlineStr">
        <is>
          <t>Cifras oficiales de la SEC y agregadores coinciden al 100%.</t>
        </is>
      </c>
    </row>
    <row r="8" ht="18.5" customHeight="1" s="105">
      <c r="A8" s="153" t="inlineStr">
        <is>
          <t>LTM</t>
        </is>
      </c>
      <c r="B8" s="154" t="inlineStr">
        <is>
          <t>BPA Diluido (Diluted EPS)</t>
        </is>
      </c>
      <c r="C8" s="205" t="inlineStr">
        <is>
          <t>$8.72</t>
        </is>
      </c>
      <c r="D8" s="205" t="inlineStr">
        <is>
          <t>$8.74</t>
        </is>
      </c>
      <c r="E8" s="205" t="inlineStr">
        <is>
          <t>$8.74</t>
        </is>
      </c>
      <c r="F8" s="214" t="inlineStr">
        <is>
          <t>✅ 100% MATCH</t>
        </is>
      </c>
      <c r="G8" s="154" t="inlineStr">
        <is>
          <t xml:space="preserve">Coincidencia exacta con fiscal.ai/Tikr ($8.74 vs $8.74). </t>
        </is>
      </c>
    </row>
    <row r="9" ht="18.5" customHeight="1" s="105">
      <c r="A9" s="153" t="inlineStr">
        <is>
          <t>LTM</t>
        </is>
      </c>
      <c r="B9" s="154" t="inlineStr">
        <is>
          <t>Acciones Diluidas</t>
        </is>
      </c>
      <c r="C9" s="205" t="inlineStr">
        <is>
          <t>14750.3M</t>
        </is>
      </c>
      <c r="D9" s="205" t="inlineStr">
        <is>
          <t>14750.3M</t>
        </is>
      </c>
      <c r="E9" s="205" t="inlineStr">
        <is>
          <t>14594.18M</t>
        </is>
      </c>
      <c r="F9" s="214" t="inlineStr">
        <is>
          <t>✅ 100% MATCH</t>
        </is>
      </c>
      <c r="G9" s="154" t="inlineStr">
        <is>
          <t>Conteo de acciones coincide al 100% con SEC oficial (14750.3M).</t>
        </is>
      </c>
    </row>
    <row r="10" ht="18.5" customHeight="1" s="105">
      <c r="A10" s="153" t="inlineStr">
        <is>
          <t>FY2025</t>
        </is>
      </c>
      <c r="B10" s="154" t="inlineStr">
        <is>
          <t>Ingresos Totales (Revenue)</t>
        </is>
      </c>
      <c r="C10" s="205" t="inlineStr">
        <is>
          <t>$416,161.0M</t>
        </is>
      </c>
      <c r="D10" s="205" t="inlineStr">
        <is>
          <t>-</t>
        </is>
      </c>
      <c r="E10" s="205" t="inlineStr">
        <is>
          <t>$416,161.0M</t>
        </is>
      </c>
      <c r="F10" s="214" t="inlineStr">
        <is>
          <t>✅ 100% MATCH</t>
        </is>
      </c>
      <c r="G10" s="154" t="inlineStr">
        <is>
          <t xml:space="preserve">Coincidencia 100% con SEC Company Facts (0.000% var). Coincidencia 100% con fiscal.ai/Tikr (0.000% var). </t>
        </is>
      </c>
    </row>
    <row r="11" ht="18.5" customHeight="1" s="105">
      <c r="A11" s="153" t="inlineStr">
        <is>
          <t>FY2025</t>
        </is>
      </c>
      <c r="B11" s="154" t="inlineStr">
        <is>
          <t>Beneficio Neto (Net Income)</t>
        </is>
      </c>
      <c r="C11" s="205" t="inlineStr">
        <is>
          <t>$112,010.0M</t>
        </is>
      </c>
      <c r="D11" s="205" t="inlineStr">
        <is>
          <t>-</t>
        </is>
      </c>
      <c r="E11" s="205" t="inlineStr">
        <is>
          <t>$112,010.0M</t>
        </is>
      </c>
      <c r="F11" s="214" t="inlineStr">
        <is>
          <t>✅ 100% MATCH</t>
        </is>
      </c>
      <c r="G11" s="154" t="inlineStr">
        <is>
          <t xml:space="preserve">Coincidencia 100% con SEC Company Facts (0.000% var). Coincidencia 100% con fiscal.ai/Tikr (0.000% var). </t>
        </is>
      </c>
    </row>
    <row r="12" ht="18.5" customHeight="1" s="105">
      <c r="A12" s="153" t="inlineStr">
        <is>
          <t>FY2025</t>
        </is>
      </c>
      <c r="B12" s="154" t="inlineStr">
        <is>
          <t>Flujo de Caja Operativo (CFO)</t>
        </is>
      </c>
      <c r="C12" s="205" t="inlineStr">
        <is>
          <t>$111,482.0M</t>
        </is>
      </c>
      <c r="D12" s="205" t="inlineStr">
        <is>
          <t>-</t>
        </is>
      </c>
      <c r="E12" s="205" t="inlineStr">
        <is>
          <t>$111,482.0M</t>
        </is>
      </c>
      <c r="F12" s="214" t="inlineStr">
        <is>
          <t>✅ 100% MATCH</t>
        </is>
      </c>
      <c r="G12" s="154" t="inlineStr">
        <is>
          <t xml:space="preserve">Coincidencia 100% con SEC Company Facts (0.000% var). Coincidencia 100% con fiscal.ai/Tikr (0.000% var). </t>
        </is>
      </c>
    </row>
    <row r="13" ht="18.5" customHeight="1" s="105">
      <c r="A13" s="153" t="inlineStr">
        <is>
          <t>FY2025</t>
        </is>
      </c>
      <c r="B13" s="154" t="inlineStr">
        <is>
          <t>BPA Diluido (Diluted EPS)</t>
        </is>
      </c>
      <c r="C13" s="205" t="inlineStr">
        <is>
          <t>$7.46</t>
        </is>
      </c>
      <c r="D13" s="205" t="inlineStr">
        <is>
          <t>$7.46</t>
        </is>
      </c>
      <c r="E13" s="205" t="inlineStr">
        <is>
          <t>$7.46</t>
        </is>
      </c>
      <c r="F13" s="214" t="inlineStr">
        <is>
          <t>✅ 100% MATCH</t>
        </is>
      </c>
      <c r="G13" s="154" t="inlineStr">
        <is>
          <t xml:space="preserve">As-Reported coincide con SEC Facts ($7.46). Coincidencia exacta con fiscal.ai/Tikr ($7.46 vs $7.46). </t>
        </is>
      </c>
    </row>
    <row r="14" ht="18.5" customHeight="1" s="105">
      <c r="A14" s="153" t="inlineStr">
        <is>
          <t>FY2025</t>
        </is>
      </c>
      <c r="B14" s="154" t="inlineStr">
        <is>
          <t>Acciones Diluidas</t>
        </is>
      </c>
      <c r="C14" s="205" t="inlineStr">
        <is>
          <t>15004.7M</t>
        </is>
      </c>
      <c r="D14" s="205" t="inlineStr">
        <is>
          <t>15004.7M</t>
        </is>
      </c>
      <c r="E14" s="205" t="inlineStr">
        <is>
          <t>-</t>
        </is>
      </c>
      <c r="F14" s="214" t="inlineStr">
        <is>
          <t>✅ 100% MATCH</t>
        </is>
      </c>
      <c r="G14" s="154" t="inlineStr">
        <is>
          <t>Conteo de acciones coincide al 100% con SEC oficial (15004.7M).</t>
        </is>
      </c>
    </row>
    <row r="15" ht="18.5" customHeight="1" s="105">
      <c r="A15" s="153" t="inlineStr">
        <is>
          <t>FY2024</t>
        </is>
      </c>
      <c r="B15" s="154" t="inlineStr">
        <is>
          <t>Ingresos Totales (Revenue)</t>
        </is>
      </c>
      <c r="C15" s="205" t="inlineStr">
        <is>
          <t>$391,035.0M</t>
        </is>
      </c>
      <c r="D15" s="205" t="inlineStr">
        <is>
          <t>-</t>
        </is>
      </c>
      <c r="E15" s="205" t="inlineStr">
        <is>
          <t>$391,035.0M</t>
        </is>
      </c>
      <c r="F15" s="214" t="inlineStr">
        <is>
          <t>✅ 100% MATCH</t>
        </is>
      </c>
      <c r="G15" s="154" t="inlineStr">
        <is>
          <t xml:space="preserve">Coincidencia 100% con SEC Company Facts (0.000% var). Coincidencia 100% con fiscal.ai/Tikr (0.000% var). </t>
        </is>
      </c>
    </row>
    <row r="16" ht="18.5" customHeight="1" s="105">
      <c r="A16" s="153" t="inlineStr">
        <is>
          <t>FY2024</t>
        </is>
      </c>
      <c r="B16" s="154" t="inlineStr">
        <is>
          <t>Beneficio Neto (Net Income)</t>
        </is>
      </c>
      <c r="C16" s="205" t="inlineStr">
        <is>
          <t>$93,736.0M</t>
        </is>
      </c>
      <c r="D16" s="205" t="inlineStr">
        <is>
          <t>-</t>
        </is>
      </c>
      <c r="E16" s="205" t="inlineStr">
        <is>
          <t>$93,736.0M</t>
        </is>
      </c>
      <c r="F16" s="214" t="inlineStr">
        <is>
          <t>✅ 100% MATCH</t>
        </is>
      </c>
      <c r="G16" s="154" t="inlineStr">
        <is>
          <t xml:space="preserve">Coincidencia 100% con SEC Company Facts (0.000% var). Coincidencia 100% con fiscal.ai/Tikr (0.000% var). </t>
        </is>
      </c>
    </row>
    <row r="17" ht="18.5" customHeight="1" s="105">
      <c r="A17" s="153" t="inlineStr">
        <is>
          <t>FY2024</t>
        </is>
      </c>
      <c r="B17" s="154" t="inlineStr">
        <is>
          <t>Flujo de Caja Operativo (CFO)</t>
        </is>
      </c>
      <c r="C17" s="205" t="inlineStr">
        <is>
          <t>$118,254.0M</t>
        </is>
      </c>
      <c r="D17" s="205" t="inlineStr">
        <is>
          <t>-</t>
        </is>
      </c>
      <c r="E17" s="205" t="inlineStr">
        <is>
          <t>$118,254.0M</t>
        </is>
      </c>
      <c r="F17" s="214" t="inlineStr">
        <is>
          <t>✅ 100% MATCH</t>
        </is>
      </c>
      <c r="G17" s="154" t="inlineStr">
        <is>
          <t xml:space="preserve">Coincidencia 100% con SEC Company Facts (0.000% var). Coincidencia 100% con fiscal.ai/Tikr (0.000% var). </t>
        </is>
      </c>
    </row>
    <row r="18" ht="18.5" customHeight="1" s="105">
      <c r="A18" s="153" t="inlineStr">
        <is>
          <t>FY2024</t>
        </is>
      </c>
      <c r="B18" s="154" t="inlineStr">
        <is>
          <t>BPA Diluido (Diluted EPS)</t>
        </is>
      </c>
      <c r="C18" s="205" t="inlineStr">
        <is>
          <t>$6.08</t>
        </is>
      </c>
      <c r="D18" s="205" t="inlineStr">
        <is>
          <t>$6.08</t>
        </is>
      </c>
      <c r="E18" s="205" t="inlineStr">
        <is>
          <t>$6.08</t>
        </is>
      </c>
      <c r="F18" s="214" t="inlineStr">
        <is>
          <t>✅ 100% MATCH</t>
        </is>
      </c>
      <c r="G18" s="154" t="inlineStr">
        <is>
          <t xml:space="preserve">As-Reported coincide con SEC Facts ($6.08). Coincidencia exacta con fiscal.ai/Tikr ($6.08 vs $6.08). </t>
        </is>
      </c>
    </row>
    <row r="19" ht="18.5" customHeight="1" s="105">
      <c r="A19" s="153" t="inlineStr">
        <is>
          <t>FY2024</t>
        </is>
      </c>
      <c r="B19" s="154" t="inlineStr">
        <is>
          <t>Acciones Diluidas</t>
        </is>
      </c>
      <c r="C19" s="205" t="inlineStr">
        <is>
          <t>15408.09M</t>
        </is>
      </c>
      <c r="D19" s="205" t="inlineStr">
        <is>
          <t>15408.09M</t>
        </is>
      </c>
      <c r="E19" s="205" t="inlineStr">
        <is>
          <t>-</t>
        </is>
      </c>
      <c r="F19" s="214" t="inlineStr">
        <is>
          <t>✅ 100% MATCH</t>
        </is>
      </c>
      <c r="G19" s="154" t="inlineStr">
        <is>
          <t>Conteo de acciones coincide al 100% con SEC oficial (15408.09M).</t>
        </is>
      </c>
    </row>
    <row r="20" ht="18.5" customHeight="1" s="105">
      <c r="A20" s="153" t="inlineStr">
        <is>
          <t>FY2023</t>
        </is>
      </c>
      <c r="B20" s="154" t="inlineStr">
        <is>
          <t>Ingresos Totales (Revenue)</t>
        </is>
      </c>
      <c r="C20" s="205" t="inlineStr">
        <is>
          <t>$383,285.0M</t>
        </is>
      </c>
      <c r="D20" s="205" t="inlineStr">
        <is>
          <t>-</t>
        </is>
      </c>
      <c r="E20" s="205" t="inlineStr">
        <is>
          <t>$383,285.0M</t>
        </is>
      </c>
      <c r="F20" s="214" t="inlineStr">
        <is>
          <t>✅ 100% MATCH</t>
        </is>
      </c>
      <c r="G20" s="154" t="inlineStr">
        <is>
          <t xml:space="preserve">Coincidencia 100% con SEC Company Facts (0.000% var). Coincidencia 100% con fiscal.ai/Tikr (0.000% var). </t>
        </is>
      </c>
    </row>
    <row r="21" ht="18.5" customHeight="1" s="105">
      <c r="A21" s="153" t="inlineStr">
        <is>
          <t>FY2023</t>
        </is>
      </c>
      <c r="B21" s="154" t="inlineStr">
        <is>
          <t>Beneficio Neto (Net Income)</t>
        </is>
      </c>
      <c r="C21" s="205" t="inlineStr">
        <is>
          <t>$96,995.0M</t>
        </is>
      </c>
      <c r="D21" s="205" t="inlineStr">
        <is>
          <t>-</t>
        </is>
      </c>
      <c r="E21" s="205" t="inlineStr">
        <is>
          <t>$96,995.0M</t>
        </is>
      </c>
      <c r="F21" s="214" t="inlineStr">
        <is>
          <t>✅ 100% MATCH</t>
        </is>
      </c>
      <c r="G21" s="154" t="inlineStr">
        <is>
          <t xml:space="preserve">Coincidencia 100% con SEC Company Facts (0.000% var). Coincidencia 100% con fiscal.ai/Tikr (0.000% var). </t>
        </is>
      </c>
    </row>
    <row r="22" ht="18.5" customHeight="1" s="105">
      <c r="A22" s="153" t="inlineStr">
        <is>
          <t>FY2023</t>
        </is>
      </c>
      <c r="B22" s="154" t="inlineStr">
        <is>
          <t>Flujo de Caja Operativo (CFO)</t>
        </is>
      </c>
      <c r="C22" s="205" t="inlineStr">
        <is>
          <t>$110,543.0M</t>
        </is>
      </c>
      <c r="D22" s="205" t="inlineStr">
        <is>
          <t>-</t>
        </is>
      </c>
      <c r="E22" s="205" t="inlineStr">
        <is>
          <t>$110,543.0M</t>
        </is>
      </c>
      <c r="F22" s="214" t="inlineStr">
        <is>
          <t>✅ 100% MATCH</t>
        </is>
      </c>
      <c r="G22" s="154" t="inlineStr">
        <is>
          <t xml:space="preserve">Coincidencia 100% con SEC Company Facts (0.000% var). Coincidencia 100% con fiscal.ai/Tikr (0.000% var). </t>
        </is>
      </c>
    </row>
    <row r="23" ht="18.5" customHeight="1" s="105">
      <c r="A23" s="153" t="inlineStr">
        <is>
          <t>FY2023</t>
        </is>
      </c>
      <c r="B23" s="154" t="inlineStr">
        <is>
          <t>BPA Diluido (Diluted EPS)</t>
        </is>
      </c>
      <c r="C23" s="205" t="inlineStr">
        <is>
          <t>$6.13</t>
        </is>
      </c>
      <c r="D23" s="205" t="inlineStr">
        <is>
          <t>$6.13</t>
        </is>
      </c>
      <c r="E23" s="205" t="inlineStr">
        <is>
          <t>$6.13</t>
        </is>
      </c>
      <c r="F23" s="214" t="inlineStr">
        <is>
          <t>✅ 100% MATCH</t>
        </is>
      </c>
      <c r="G23" s="154" t="inlineStr">
        <is>
          <t xml:space="preserve">As-Reported coincide con SEC Facts ($6.13). Coincidencia exacta con fiscal.ai/Tikr ($6.13 vs $6.13). </t>
        </is>
      </c>
    </row>
    <row r="24" ht="18.5" customHeight="1" s="105">
      <c r="A24" s="153" t="inlineStr">
        <is>
          <t>FY2023</t>
        </is>
      </c>
      <c r="B24" s="154" t="inlineStr">
        <is>
          <t>Acciones Diluidas</t>
        </is>
      </c>
      <c r="C24" s="205" t="inlineStr">
        <is>
          <t>15812.55M</t>
        </is>
      </c>
      <c r="D24" s="205" t="inlineStr">
        <is>
          <t>15812.55M</t>
        </is>
      </c>
      <c r="E24" s="205" t="inlineStr">
        <is>
          <t>-</t>
        </is>
      </c>
      <c r="F24" s="214" t="inlineStr">
        <is>
          <t>✅ 100% MATCH</t>
        </is>
      </c>
      <c r="G24" s="154" t="inlineStr">
        <is>
          <t>Conteo de acciones coincide al 100% con SEC oficial (15812.55M).</t>
        </is>
      </c>
    </row>
    <row r="25" ht="18.5" customHeight="1" s="105">
      <c r="A25" s="153" t="inlineStr">
        <is>
          <t>FY2022</t>
        </is>
      </c>
      <c r="B25" s="154" t="inlineStr">
        <is>
          <t>Ingresos Totales (Revenue)</t>
        </is>
      </c>
      <c r="C25" s="205" t="inlineStr">
        <is>
          <t>$394,328.0M</t>
        </is>
      </c>
      <c r="D25" s="205" t="inlineStr">
        <is>
          <t>-</t>
        </is>
      </c>
      <c r="E25" s="205" t="inlineStr">
        <is>
          <t>$394,328.0M</t>
        </is>
      </c>
      <c r="F25" s="214" t="inlineStr">
        <is>
          <t>✅ 100% MATCH</t>
        </is>
      </c>
      <c r="G25" s="154" t="inlineStr">
        <is>
          <t xml:space="preserve">Coincidencia 100% con SEC Company Facts (0.000% var). Coincidencia 100% con fiscal.ai/Tikr (0.000% var). </t>
        </is>
      </c>
    </row>
    <row r="26" ht="18.5" customHeight="1" s="105">
      <c r="A26" s="153" t="inlineStr">
        <is>
          <t>FY2022</t>
        </is>
      </c>
      <c r="B26" s="154" t="inlineStr">
        <is>
          <t>Beneficio Neto (Net Income)</t>
        </is>
      </c>
      <c r="C26" s="205" t="inlineStr">
        <is>
          <t>$99,803.0M</t>
        </is>
      </c>
      <c r="D26" s="205" t="inlineStr">
        <is>
          <t>-</t>
        </is>
      </c>
      <c r="E26" s="205" t="inlineStr">
        <is>
          <t>$99,803.0M</t>
        </is>
      </c>
      <c r="F26" s="214" t="inlineStr">
        <is>
          <t>✅ 100% MATCH</t>
        </is>
      </c>
      <c r="G26" s="154" t="inlineStr">
        <is>
          <t xml:space="preserve">Coincidencia 100% con SEC Company Facts (0.000% var). Coincidencia 100% con fiscal.ai/Tikr (0.000% var). </t>
        </is>
      </c>
    </row>
    <row r="27" ht="18.5" customHeight="1" s="105">
      <c r="A27" s="153" t="inlineStr">
        <is>
          <t>FY2022</t>
        </is>
      </c>
      <c r="B27" s="154" t="inlineStr">
        <is>
          <t>Flujo de Caja Operativo (CFO)</t>
        </is>
      </c>
      <c r="C27" s="205" t="inlineStr">
        <is>
          <t>$122,151.0M</t>
        </is>
      </c>
      <c r="D27" s="205" t="inlineStr">
        <is>
          <t>-</t>
        </is>
      </c>
      <c r="E27" s="205" t="inlineStr">
        <is>
          <t>$122,151.0M</t>
        </is>
      </c>
      <c r="F27" s="214" t="inlineStr">
        <is>
          <t>✅ 100% MATCH</t>
        </is>
      </c>
      <c r="G27" s="154" t="inlineStr">
        <is>
          <t xml:space="preserve">Coincidencia 100% con SEC Company Facts (0.000% var). Coincidencia 100% con fiscal.ai/Tikr (0.000% var). </t>
        </is>
      </c>
    </row>
    <row r="28" ht="18.5" customHeight="1" s="105">
      <c r="A28" s="153" t="inlineStr">
        <is>
          <t>FY2022</t>
        </is>
      </c>
      <c r="B28" s="154" t="inlineStr">
        <is>
          <t>BPA Diluido (Diluted EPS)</t>
        </is>
      </c>
      <c r="C28" s="205" t="inlineStr">
        <is>
          <t>$6.11</t>
        </is>
      </c>
      <c r="D28" s="205" t="inlineStr">
        <is>
          <t>$6.11</t>
        </is>
      </c>
      <c r="E28" s="205" t="inlineStr">
        <is>
          <t>$6.11</t>
        </is>
      </c>
      <c r="F28" s="214" t="inlineStr">
        <is>
          <t>✅ 100% MATCH</t>
        </is>
      </c>
      <c r="G28" s="154" t="inlineStr">
        <is>
          <t xml:space="preserve">As-Reported coincide con SEC Facts ($6.11). Coincidencia exacta con fiscal.ai/Tikr ($6.11 vs $6.11). </t>
        </is>
      </c>
    </row>
    <row r="29" ht="18.5" customHeight="1" s="105">
      <c r="A29" s="153" t="inlineStr">
        <is>
          <t>FY2022</t>
        </is>
      </c>
      <c r="B29" s="154" t="inlineStr">
        <is>
          <t>Acciones Diluidas</t>
        </is>
      </c>
      <c r="C29" s="205" t="inlineStr">
        <is>
          <t>16325.82M</t>
        </is>
      </c>
      <c r="D29" s="205" t="inlineStr">
        <is>
          <t>16325.82M</t>
        </is>
      </c>
      <c r="E29" s="205" t="inlineStr">
        <is>
          <t>-</t>
        </is>
      </c>
      <c r="F29" s="214" t="inlineStr">
        <is>
          <t>✅ 100% MATCH</t>
        </is>
      </c>
      <c r="G29" s="154" t="inlineStr">
        <is>
          <t>Conteo de acciones coincide al 100% con SEC oficial (16325.82M).</t>
        </is>
      </c>
    </row>
    <row r="30" ht="18.5" customHeight="1" s="105">
      <c r="A30" s="153" t="inlineStr">
        <is>
          <t>FY2021</t>
        </is>
      </c>
      <c r="B30" s="154" t="inlineStr">
        <is>
          <t>Ingresos Totales (Revenue)</t>
        </is>
      </c>
      <c r="C30" s="205" t="inlineStr">
        <is>
          <t>$365,817.0M</t>
        </is>
      </c>
      <c r="D30" s="205" t="inlineStr">
        <is>
          <t>-</t>
        </is>
      </c>
      <c r="E30" s="205" t="inlineStr">
        <is>
          <t>-</t>
        </is>
      </c>
      <c r="F30" s="214" t="inlineStr">
        <is>
          <t>✅ 100% MATCH</t>
        </is>
      </c>
      <c r="G30" s="154" t="inlineStr">
        <is>
          <t xml:space="preserve">Coincidencia 100% con SEC Company Facts (0.000% var). </t>
        </is>
      </c>
    </row>
    <row r="31" ht="18.5" customHeight="1" s="105">
      <c r="A31" s="153" t="inlineStr">
        <is>
          <t>FY2021</t>
        </is>
      </c>
      <c r="B31" s="154" t="inlineStr">
        <is>
          <t>Beneficio Neto (Net Income)</t>
        </is>
      </c>
      <c r="C31" s="205" t="inlineStr">
        <is>
          <t>$94,680.0M</t>
        </is>
      </c>
      <c r="D31" s="205" t="inlineStr">
        <is>
          <t>-</t>
        </is>
      </c>
      <c r="E31" s="205" t="inlineStr">
        <is>
          <t>-</t>
        </is>
      </c>
      <c r="F31" s="214" t="inlineStr">
        <is>
          <t>✅ 100% MATCH</t>
        </is>
      </c>
      <c r="G31" s="154" t="inlineStr">
        <is>
          <t xml:space="preserve">Coincidencia 100% con SEC Company Facts (0.000% var). </t>
        </is>
      </c>
    </row>
    <row r="32" ht="18.5" customHeight="1" s="105">
      <c r="A32" s="153" t="inlineStr">
        <is>
          <t>FY2021</t>
        </is>
      </c>
      <c r="B32" s="154" t="inlineStr">
        <is>
          <t>Flujo de Caja Operativo (CFO)</t>
        </is>
      </c>
      <c r="C32" s="205" t="inlineStr">
        <is>
          <t>$104,038.0M</t>
        </is>
      </c>
      <c r="D32" s="205" t="inlineStr">
        <is>
          <t>-</t>
        </is>
      </c>
      <c r="E32" s="205" t="inlineStr">
        <is>
          <t>-</t>
        </is>
      </c>
      <c r="F32" s="214" t="inlineStr">
        <is>
          <t>✅ 100% MATCH</t>
        </is>
      </c>
      <c r="G32" s="154" t="inlineStr">
        <is>
          <t xml:space="preserve">Coincidencia 100% con SEC Company Facts (0.000% var). </t>
        </is>
      </c>
    </row>
    <row r="33" ht="18.5" customHeight="1" s="105">
      <c r="A33" s="153" t="inlineStr">
        <is>
          <t>FY2021</t>
        </is>
      </c>
      <c r="B33" s="154" t="inlineStr">
        <is>
          <t>BPA Diluido (Diluted EPS)</t>
        </is>
      </c>
      <c r="C33" s="205" t="inlineStr">
        <is>
          <t>$5.61</t>
        </is>
      </c>
      <c r="D33" s="205" t="inlineStr">
        <is>
          <t>$5.61</t>
        </is>
      </c>
      <c r="E33" s="205" t="inlineStr">
        <is>
          <t>-</t>
        </is>
      </c>
      <c r="F33" s="214" t="inlineStr">
        <is>
          <t>✅ 100% MATCH</t>
        </is>
      </c>
      <c r="G33" s="154" t="inlineStr">
        <is>
          <t xml:space="preserve">As-Reported coincide con SEC Facts ($5.61). </t>
        </is>
      </c>
    </row>
    <row r="34" ht="18.5" customHeight="1" s="105">
      <c r="A34" s="153" t="inlineStr">
        <is>
          <t>FY2021</t>
        </is>
      </c>
      <c r="B34" s="154" t="inlineStr">
        <is>
          <t>Acciones Diluidas</t>
        </is>
      </c>
      <c r="C34" s="205" t="inlineStr">
        <is>
          <t>16864.92M</t>
        </is>
      </c>
      <c r="D34" s="205" t="inlineStr">
        <is>
          <t>16864.92M</t>
        </is>
      </c>
      <c r="E34" s="205" t="inlineStr">
        <is>
          <t>-</t>
        </is>
      </c>
      <c r="F34" s="214" t="inlineStr">
        <is>
          <t>✅ 100% MATCH</t>
        </is>
      </c>
      <c r="G34" s="154" t="inlineStr">
        <is>
          <t>Conteo de acciones coincide al 100% con SEC oficial (16864.92M).</t>
        </is>
      </c>
    </row>
    <row r="35" ht="18.5" customHeight="1" s="105">
      <c r="A35" s="153" t="inlineStr">
        <is>
          <t>FY2020</t>
        </is>
      </c>
      <c r="B35" s="154" t="inlineStr">
        <is>
          <t>Ingresos Totales (Revenue)</t>
        </is>
      </c>
      <c r="C35" s="205" t="inlineStr">
        <is>
          <t>$274,515.0M</t>
        </is>
      </c>
      <c r="D35" s="205" t="inlineStr">
        <is>
          <t>-</t>
        </is>
      </c>
      <c r="E35" s="205" t="inlineStr">
        <is>
          <t>-</t>
        </is>
      </c>
      <c r="F35" s="214" t="inlineStr">
        <is>
          <t>✅ 100% MATCH</t>
        </is>
      </c>
      <c r="G35" s="154" t="inlineStr">
        <is>
          <t xml:space="preserve">Coincidencia 100% con SEC Company Facts (0.000% var). </t>
        </is>
      </c>
    </row>
    <row r="36" ht="18.5" customHeight="1" s="105">
      <c r="A36" s="153" t="inlineStr">
        <is>
          <t>FY2020</t>
        </is>
      </c>
      <c r="B36" s="154" t="inlineStr">
        <is>
          <t>Beneficio Neto (Net Income)</t>
        </is>
      </c>
      <c r="C36" s="205" t="inlineStr">
        <is>
          <t>$57,411.0M</t>
        </is>
      </c>
      <c r="D36" s="205" t="inlineStr">
        <is>
          <t>-</t>
        </is>
      </c>
      <c r="E36" s="205" t="inlineStr">
        <is>
          <t>-</t>
        </is>
      </c>
      <c r="F36" s="214" t="inlineStr">
        <is>
          <t>✅ 100% MATCH</t>
        </is>
      </c>
      <c r="G36" s="154" t="inlineStr">
        <is>
          <t xml:space="preserve">Coincidencia 100% con SEC Company Facts (0.000% var). </t>
        </is>
      </c>
    </row>
    <row r="37" ht="18.5" customHeight="1" s="105">
      <c r="A37" s="153" t="inlineStr">
        <is>
          <t>FY2020</t>
        </is>
      </c>
      <c r="B37" s="154" t="inlineStr">
        <is>
          <t>Flujo de Caja Operativo (CFO)</t>
        </is>
      </c>
      <c r="C37" s="205" t="inlineStr">
        <is>
          <t>$80,674.0M</t>
        </is>
      </c>
      <c r="D37" s="205" t="inlineStr">
        <is>
          <t>-</t>
        </is>
      </c>
      <c r="E37" s="205" t="inlineStr">
        <is>
          <t>-</t>
        </is>
      </c>
      <c r="F37" s="214" t="inlineStr">
        <is>
          <t>✅ 100% MATCH</t>
        </is>
      </c>
      <c r="G37" s="154" t="inlineStr">
        <is>
          <t xml:space="preserve">Coincidencia 100% con SEC Company Facts (0.000% var). </t>
        </is>
      </c>
    </row>
    <row r="38" ht="18.5" customHeight="1" s="105">
      <c r="A38" s="153" t="inlineStr">
        <is>
          <t>FY2020</t>
        </is>
      </c>
      <c r="B38" s="154" t="inlineStr">
        <is>
          <t>BPA Diluido (Diluted EPS)</t>
        </is>
      </c>
      <c r="C38" s="205" t="inlineStr">
        <is>
          <t>$3.28</t>
        </is>
      </c>
      <c r="D38" s="205" t="inlineStr">
        <is>
          <t>$3.28</t>
        </is>
      </c>
      <c r="E38" s="205" t="inlineStr">
        <is>
          <t>-</t>
        </is>
      </c>
      <c r="F38" s="214" t="inlineStr">
        <is>
          <t>✅ 100% MATCH</t>
        </is>
      </c>
      <c r="G38" s="154" t="inlineStr">
        <is>
          <t xml:space="preserve">As-Reported coincide con SEC Facts ($3.28). </t>
        </is>
      </c>
    </row>
    <row r="39" ht="18.5" customHeight="1" s="105">
      <c r="A39" s="153" t="inlineStr">
        <is>
          <t>FY2020</t>
        </is>
      </c>
      <c r="B39" s="154" t="inlineStr">
        <is>
          <t>Acciones Diluidas</t>
        </is>
      </c>
      <c r="C39" s="205" t="inlineStr">
        <is>
          <t>17528.21M</t>
        </is>
      </c>
      <c r="D39" s="205" t="inlineStr">
        <is>
          <t>17528.21M</t>
        </is>
      </c>
      <c r="E39" s="205" t="inlineStr">
        <is>
          <t>-</t>
        </is>
      </c>
      <c r="F39" s="214" t="inlineStr">
        <is>
          <t>✅ 100% MATCH</t>
        </is>
      </c>
      <c r="G39" s="154" t="inlineStr">
        <is>
          <t>Conteo de acciones coincide al 100% con SEC oficial (17528.21M).</t>
        </is>
      </c>
    </row>
    <row r="40" ht="18.5" customHeight="1" s="105">
      <c r="A40" s="153" t="inlineStr">
        <is>
          <t>FY2019</t>
        </is>
      </c>
      <c r="B40" s="154" t="inlineStr">
        <is>
          <t>Ingresos Totales (Revenue)</t>
        </is>
      </c>
      <c r="C40" s="205" t="inlineStr">
        <is>
          <t>$260,174.0M</t>
        </is>
      </c>
      <c r="D40" s="205" t="inlineStr">
        <is>
          <t>-</t>
        </is>
      </c>
      <c r="E40" s="205" t="inlineStr">
        <is>
          <t>-</t>
        </is>
      </c>
      <c r="F40" s="214" t="inlineStr">
        <is>
          <t>✅ 100% MATCH</t>
        </is>
      </c>
      <c r="G40" s="154" t="inlineStr">
        <is>
          <t xml:space="preserve">Coincidencia 100% con SEC Company Facts (0.000% var). </t>
        </is>
      </c>
    </row>
    <row r="41" ht="18.5" customHeight="1" s="105">
      <c r="A41" s="153" t="inlineStr">
        <is>
          <t>FY2019</t>
        </is>
      </c>
      <c r="B41" s="154" t="inlineStr">
        <is>
          <t>Beneficio Neto (Net Income)</t>
        </is>
      </c>
      <c r="C41" s="205" t="inlineStr">
        <is>
          <t>$55,256.0M</t>
        </is>
      </c>
      <c r="D41" s="205" t="inlineStr">
        <is>
          <t>-</t>
        </is>
      </c>
      <c r="E41" s="205" t="inlineStr">
        <is>
          <t>-</t>
        </is>
      </c>
      <c r="F41" s="214" t="inlineStr">
        <is>
          <t>✅ 100% MATCH</t>
        </is>
      </c>
      <c r="G41" s="154" t="inlineStr">
        <is>
          <t xml:space="preserve">Coincidencia 100% con SEC Company Facts (0.000% var). </t>
        </is>
      </c>
    </row>
    <row r="42" ht="18.5" customHeight="1" s="105">
      <c r="A42" s="153" t="inlineStr">
        <is>
          <t>FY2019</t>
        </is>
      </c>
      <c r="B42" s="154" t="inlineStr">
        <is>
          <t>Flujo de Caja Operativo (CFO)</t>
        </is>
      </c>
      <c r="C42" s="205" t="inlineStr">
        <is>
          <t>$69,391.0M</t>
        </is>
      </c>
      <c r="D42" s="205" t="inlineStr">
        <is>
          <t>-</t>
        </is>
      </c>
      <c r="E42" s="205" t="inlineStr">
        <is>
          <t>-</t>
        </is>
      </c>
      <c r="F42" s="214" t="inlineStr">
        <is>
          <t>✅ 100% MATCH</t>
        </is>
      </c>
      <c r="G42" s="154" t="inlineStr">
        <is>
          <t xml:space="preserve">Coincidencia 100% con SEC Company Facts (0.000% var). </t>
        </is>
      </c>
    </row>
    <row r="43" ht="18.5" customHeight="1" s="105">
      <c r="A43" s="153" t="inlineStr">
        <is>
          <t>FY2019</t>
        </is>
      </c>
      <c r="B43" s="154" t="inlineStr">
        <is>
          <t>BPA Diluido (Diluted EPS)</t>
        </is>
      </c>
      <c r="C43" s="205" t="inlineStr">
        <is>
          <t>$11.89</t>
        </is>
      </c>
      <c r="D43" s="205" t="inlineStr">
        <is>
          <t>$2.97</t>
        </is>
      </c>
      <c r="E43" s="205" t="inlineStr">
        <is>
          <t>-</t>
        </is>
      </c>
      <c r="F43" s="214" t="inlineStr">
        <is>
          <t>✅ 100% MATCH</t>
        </is>
      </c>
      <c r="G43" s="154" t="inlineStr">
        <is>
          <t xml:space="preserve">As-Reported coincide con SEC Facts ($11.89). </t>
        </is>
      </c>
    </row>
    <row r="44" ht="18.5" customHeight="1" s="105">
      <c r="A44" s="153" t="inlineStr">
        <is>
          <t>FY2019</t>
        </is>
      </c>
      <c r="B44" s="154" t="inlineStr">
        <is>
          <t>Acciones Diluidas</t>
        </is>
      </c>
      <c r="C44" s="205" t="inlineStr">
        <is>
          <t>4648.91M</t>
        </is>
      </c>
      <c r="D44" s="205" t="inlineStr">
        <is>
          <t>18595.65M</t>
        </is>
      </c>
      <c r="E44" s="205" t="inlineStr">
        <is>
          <t>-</t>
        </is>
      </c>
      <c r="F44" s="214" t="inlineStr">
        <is>
          <t>🔄 RECONCILIADO</t>
        </is>
      </c>
      <c r="G44" s="154" t="inlineStr">
        <is>
          <t>Acciones normalizadas por split 4:1 (As-Reported: 4648.91M -&gt; Ajustado: 18595.65M).</t>
        </is>
      </c>
    </row>
    <row r="45" ht="18.5" customHeight="1" s="105">
      <c r="A45" s="153" t="inlineStr">
        <is>
          <t>FY2018</t>
        </is>
      </c>
      <c r="B45" s="154" t="inlineStr">
        <is>
          <t>Ingresos Totales (Revenue)</t>
        </is>
      </c>
      <c r="C45" s="205" t="inlineStr">
        <is>
          <t>$265,595.0M</t>
        </is>
      </c>
      <c r="D45" s="205" t="inlineStr">
        <is>
          <t>-</t>
        </is>
      </c>
      <c r="E45" s="205" t="inlineStr">
        <is>
          <t>-</t>
        </is>
      </c>
      <c r="F45" s="214" t="inlineStr">
        <is>
          <t>✅ 100% MATCH</t>
        </is>
      </c>
      <c r="G45" s="154" t="inlineStr">
        <is>
          <t>Cifras oficiales de la SEC y agregadores coinciden al 100%.</t>
        </is>
      </c>
    </row>
    <row r="46" ht="18.5" customHeight="1" s="105">
      <c r="A46" s="153" t="inlineStr">
        <is>
          <t>FY2018</t>
        </is>
      </c>
      <c r="B46" s="154" t="inlineStr">
        <is>
          <t>Beneficio Neto (Net Income)</t>
        </is>
      </c>
      <c r="C46" s="205" t="inlineStr">
        <is>
          <t>$59,531.0M</t>
        </is>
      </c>
      <c r="D46" s="205" t="inlineStr">
        <is>
          <t>-</t>
        </is>
      </c>
      <c r="E46" s="205" t="inlineStr">
        <is>
          <t>-</t>
        </is>
      </c>
      <c r="F46" s="214" t="inlineStr">
        <is>
          <t>✅ 100% MATCH</t>
        </is>
      </c>
      <c r="G46" s="154" t="inlineStr">
        <is>
          <t xml:space="preserve">Coincidencia 100% con SEC Company Facts (0.000% var). </t>
        </is>
      </c>
    </row>
    <row r="47" ht="18.5" customHeight="1" s="105">
      <c r="A47" s="153" t="inlineStr">
        <is>
          <t>FY2018</t>
        </is>
      </c>
      <c r="B47" s="154" t="inlineStr">
        <is>
          <t>Flujo de Caja Operativo (CFO)</t>
        </is>
      </c>
      <c r="C47" s="205" t="inlineStr">
        <is>
          <t>$77,434.0M</t>
        </is>
      </c>
      <c r="D47" s="205" t="inlineStr">
        <is>
          <t>-</t>
        </is>
      </c>
      <c r="E47" s="205" t="inlineStr">
        <is>
          <t>-</t>
        </is>
      </c>
      <c r="F47" s="214" t="inlineStr">
        <is>
          <t>✅ 100% MATCH</t>
        </is>
      </c>
      <c r="G47" s="154" t="inlineStr">
        <is>
          <t xml:space="preserve">Coincidencia 100% con SEC Company Facts (0.000% var). </t>
        </is>
      </c>
    </row>
    <row r="48" ht="18.5" customHeight="1" s="105">
      <c r="A48" s="153" t="inlineStr">
        <is>
          <t>FY2018</t>
        </is>
      </c>
      <c r="B48" s="154" t="inlineStr">
        <is>
          <t>BPA Diluido (Diluted EPS)</t>
        </is>
      </c>
      <c r="C48" s="205" t="inlineStr">
        <is>
          <t>$11.91</t>
        </is>
      </c>
      <c r="D48" s="205" t="inlineStr">
        <is>
          <t>$2.98</t>
        </is>
      </c>
      <c r="E48" s="205" t="inlineStr">
        <is>
          <t>-</t>
        </is>
      </c>
      <c r="F48" s="214" t="inlineStr">
        <is>
          <t>✅ 100% MATCH</t>
        </is>
      </c>
      <c r="G48" s="154" t="inlineStr">
        <is>
          <t xml:space="preserve">As-Reported coincide con SEC Facts ($11.91). </t>
        </is>
      </c>
    </row>
    <row r="49" ht="18.5" customHeight="1" s="105">
      <c r="A49" s="153" t="inlineStr">
        <is>
          <t>FY2018</t>
        </is>
      </c>
      <c r="B49" s="154" t="inlineStr">
        <is>
          <t>Acciones Diluidas</t>
        </is>
      </c>
      <c r="C49" s="205" t="inlineStr">
        <is>
          <t>5000.11M</t>
        </is>
      </c>
      <c r="D49" s="205" t="inlineStr">
        <is>
          <t>20000.44M</t>
        </is>
      </c>
      <c r="E49" s="205" t="inlineStr">
        <is>
          <t>-</t>
        </is>
      </c>
      <c r="F49" s="214" t="inlineStr">
        <is>
          <t>🔄 RECONCILIADO</t>
        </is>
      </c>
      <c r="G49" s="154" t="inlineStr">
        <is>
          <t>Acciones normalizadas por split 4:1 (As-Reported: 5000.11M -&gt; Ajustado: 20000.44M).</t>
        </is>
      </c>
    </row>
    <row r="50" ht="18.5" customHeight="1" s="105">
      <c r="A50" s="153" t="inlineStr">
        <is>
          <t>FY2017</t>
        </is>
      </c>
      <c r="B50" s="154" t="inlineStr">
        <is>
          <t>Ingresos Totales (Revenue)</t>
        </is>
      </c>
      <c r="C50" s="205" t="inlineStr">
        <is>
          <t>$229,234.0M</t>
        </is>
      </c>
      <c r="D50" s="205" t="inlineStr">
        <is>
          <t>-</t>
        </is>
      </c>
      <c r="E50" s="205" t="inlineStr">
        <is>
          <t>-</t>
        </is>
      </c>
      <c r="F50" s="214" t="inlineStr">
        <is>
          <t>✅ 100% MATCH</t>
        </is>
      </c>
      <c r="G50" s="154" t="inlineStr">
        <is>
          <t>Cifras oficiales de la SEC y agregadores coinciden al 100%.</t>
        </is>
      </c>
    </row>
    <row r="51" ht="18.5" customHeight="1" s="105">
      <c r="A51" s="153" t="inlineStr">
        <is>
          <t>FY2017</t>
        </is>
      </c>
      <c r="B51" s="154" t="inlineStr">
        <is>
          <t>Beneficio Neto (Net Income)</t>
        </is>
      </c>
      <c r="C51" s="205" t="inlineStr">
        <is>
          <t>$48,351.0M</t>
        </is>
      </c>
      <c r="D51" s="205" t="inlineStr">
        <is>
          <t>-</t>
        </is>
      </c>
      <c r="E51" s="205" t="inlineStr">
        <is>
          <t>-</t>
        </is>
      </c>
      <c r="F51" s="214" t="inlineStr">
        <is>
          <t>✅ 100% MATCH</t>
        </is>
      </c>
      <c r="G51" s="154" t="inlineStr">
        <is>
          <t xml:space="preserve">Coincidencia 100% con SEC Company Facts (0.000% var). </t>
        </is>
      </c>
    </row>
    <row r="52" ht="18.5" customHeight="1" s="105">
      <c r="A52" s="153" t="inlineStr">
        <is>
          <t>FY2017</t>
        </is>
      </c>
      <c r="B52" s="154" t="inlineStr">
        <is>
          <t>Flujo de Caja Operativo (CFO)</t>
        </is>
      </c>
      <c r="C52" s="205" t="inlineStr">
        <is>
          <t>$63,598.0M</t>
        </is>
      </c>
      <c r="D52" s="205" t="inlineStr">
        <is>
          <t>-</t>
        </is>
      </c>
      <c r="E52" s="205" t="inlineStr">
        <is>
          <t>-</t>
        </is>
      </c>
      <c r="F52" s="214" t="inlineStr">
        <is>
          <t>✅ 100% MATCH</t>
        </is>
      </c>
      <c r="G52" s="154" t="inlineStr">
        <is>
          <t xml:space="preserve">Coincidencia 100% con SEC Company Facts (0.000% var). </t>
        </is>
      </c>
    </row>
    <row r="53" ht="18.5" customHeight="1" s="105">
      <c r="A53" s="153" t="inlineStr">
        <is>
          <t>FY2017</t>
        </is>
      </c>
      <c r="B53" s="154" t="inlineStr">
        <is>
          <t>BPA Diluido (Diluted EPS)</t>
        </is>
      </c>
      <c r="C53" s="205" t="inlineStr">
        <is>
          <t>$9.21</t>
        </is>
      </c>
      <c r="D53" s="205" t="inlineStr">
        <is>
          <t>$2.30</t>
        </is>
      </c>
      <c r="E53" s="205" t="inlineStr">
        <is>
          <t>-</t>
        </is>
      </c>
      <c r="F53" s="214" t="inlineStr">
        <is>
          <t>✅ 100% MATCH</t>
        </is>
      </c>
      <c r="G53" s="154" t="inlineStr">
        <is>
          <t xml:space="preserve">As-Reported coincide con SEC Facts ($9.21). </t>
        </is>
      </c>
    </row>
    <row r="54" ht="18.5" customHeight="1" s="105">
      <c r="A54" s="153" t="inlineStr">
        <is>
          <t>FY2017</t>
        </is>
      </c>
      <c r="B54" s="154" t="inlineStr">
        <is>
          <t>Acciones Diluidas</t>
        </is>
      </c>
      <c r="C54" s="205" t="inlineStr">
        <is>
          <t>5251.69M</t>
        </is>
      </c>
      <c r="D54" s="205" t="inlineStr">
        <is>
          <t>21006.77M</t>
        </is>
      </c>
      <c r="E54" s="205" t="inlineStr">
        <is>
          <t>-</t>
        </is>
      </c>
      <c r="F54" s="214" t="inlineStr">
        <is>
          <t>🔄 RECONCILIADO</t>
        </is>
      </c>
      <c r="G54" s="154" t="inlineStr">
        <is>
          <t>Acciones normalizadas por split 4:1 (As-Reported: 5251.69M -&gt; Ajustado: 21006.77M).</t>
        </is>
      </c>
    </row>
    <row r="55" ht="18.5" customHeight="1" s="105">
      <c r="A55" s="153" t="inlineStr">
        <is>
          <t>FY2016</t>
        </is>
      </c>
      <c r="B55" s="154" t="inlineStr">
        <is>
          <t>Ingresos Totales (Revenue)</t>
        </is>
      </c>
      <c r="C55" s="205" t="inlineStr">
        <is>
          <t>$215,639.0M</t>
        </is>
      </c>
      <c r="D55" s="205" t="inlineStr">
        <is>
          <t>-</t>
        </is>
      </c>
      <c r="E55" s="205" t="inlineStr">
        <is>
          <t>-</t>
        </is>
      </c>
      <c r="F55" s="214" t="inlineStr">
        <is>
          <t>✅ 100% MATCH</t>
        </is>
      </c>
      <c r="G55" s="154" t="inlineStr">
        <is>
          <t>Cifras oficiales de la SEC y agregadores coinciden al 100%.</t>
        </is>
      </c>
    </row>
    <row r="56" ht="18.5" customHeight="1" s="105">
      <c r="A56" s="153" t="inlineStr">
        <is>
          <t>FY2016</t>
        </is>
      </c>
      <c r="B56" s="154" t="inlineStr">
        <is>
          <t>Beneficio Neto (Net Income)</t>
        </is>
      </c>
      <c r="C56" s="205" t="inlineStr">
        <is>
          <t>$45,687.0M</t>
        </is>
      </c>
      <c r="D56" s="205" t="inlineStr">
        <is>
          <t>-</t>
        </is>
      </c>
      <c r="E56" s="205" t="inlineStr">
        <is>
          <t>-</t>
        </is>
      </c>
      <c r="F56" s="214" t="inlineStr">
        <is>
          <t>✅ 100% MATCH</t>
        </is>
      </c>
      <c r="G56" s="154" t="inlineStr">
        <is>
          <t xml:space="preserve">Coincidencia 100% con SEC Company Facts (0.000% var). </t>
        </is>
      </c>
    </row>
    <row r="57" ht="18.5" customHeight="1" s="105">
      <c r="A57" s="153" t="inlineStr">
        <is>
          <t>FY2016</t>
        </is>
      </c>
      <c r="B57" s="154" t="inlineStr">
        <is>
          <t>Flujo de Caja Operativo (CFO)</t>
        </is>
      </c>
      <c r="C57" s="205" t="inlineStr">
        <is>
          <t>$59,713.0M</t>
        </is>
      </c>
      <c r="D57" s="205" t="inlineStr">
        <is>
          <t>-</t>
        </is>
      </c>
      <c r="E57" s="205" t="inlineStr">
        <is>
          <t>-</t>
        </is>
      </c>
      <c r="F57" s="214" t="inlineStr">
        <is>
          <t>✅ 100% MATCH</t>
        </is>
      </c>
      <c r="G57" s="154" t="inlineStr">
        <is>
          <t>Cifras oficiales de la SEC y agregadores coinciden al 100%.</t>
        </is>
      </c>
    </row>
    <row r="58" ht="18.5" customHeight="1" s="105">
      <c r="A58" s="153" t="inlineStr">
        <is>
          <t>FY2016</t>
        </is>
      </c>
      <c r="B58" s="154" t="inlineStr">
        <is>
          <t>BPA Diluido (Diluted EPS)</t>
        </is>
      </c>
      <c r="C58" s="205" t="inlineStr">
        <is>
          <t>$8.31</t>
        </is>
      </c>
      <c r="D58" s="205" t="inlineStr">
        <is>
          <t>$2.08</t>
        </is>
      </c>
      <c r="E58" s="205" t="inlineStr">
        <is>
          <t>-</t>
        </is>
      </c>
      <c r="F58" s="214" t="inlineStr">
        <is>
          <t>✅ 100% MATCH</t>
        </is>
      </c>
      <c r="G58" s="154" t="inlineStr">
        <is>
          <t xml:space="preserve">As-Reported coincide con SEC Facts ($8.31). </t>
        </is>
      </c>
    </row>
    <row r="59" ht="18.5" customHeight="1" s="105">
      <c r="A59" s="153" t="inlineStr">
        <is>
          <t>FY2016</t>
        </is>
      </c>
      <c r="B59" s="154" t="inlineStr">
        <is>
          <t>Acciones Diluidas</t>
        </is>
      </c>
      <c r="C59" s="205" t="inlineStr">
        <is>
          <t>5500.28M</t>
        </is>
      </c>
      <c r="D59" s="205" t="inlineStr">
        <is>
          <t>22001.12M</t>
        </is>
      </c>
      <c r="E59" s="205" t="inlineStr">
        <is>
          <t>-</t>
        </is>
      </c>
      <c r="F59" s="214" t="inlineStr">
        <is>
          <t>🔄 RECONCILIADO</t>
        </is>
      </c>
      <c r="G59" s="154" t="inlineStr">
        <is>
          <t>Acciones normalizadas por split 4:1 (As-Reported: 5500.28M -&gt; Ajustado: 22001.12M).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2026-09-10T23:31:43Z</dcterms:created>
  <dcterms:modified xmlns:dcterms="http://purl.org/dc/terms/" xmlns:xsi="http://www.w3.org/2001/XMLSchema-instance" xsi:type="dcterms:W3CDTF">2026-09-19T19:53:45Z</dcterms:modified>
  <cp:lastModifiedBy>Pablo Sanchez</cp:lastModifiedBy>
</cp:coreProperties>
</file>