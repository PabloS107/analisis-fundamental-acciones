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Fundamental" sheetId="1" state="visible" r:id="rId1"/>
    <sheet xmlns:r="http://schemas.openxmlformats.org/officeDocument/2006/relationships" name="Ratios Financieros" sheetId="2" state="visible" r:id="rId2"/>
    <sheet xmlns:r="http://schemas.openxmlformats.org/officeDocument/2006/relationships" name="Cuenta de Resultados" sheetId="3" state="visible" r:id="rId3"/>
    <sheet xmlns:r="http://schemas.openxmlformats.org/officeDocument/2006/relationships" name="Balance Patrimonial" sheetId="4" state="visible" r:id="rId4"/>
    <sheet xmlns:r="http://schemas.openxmlformats.org/officeDocument/2006/relationships" name="Flujo de Caja" sheetId="5" state="visible" r:id="rId5"/>
    <sheet xmlns:r="http://schemas.openxmlformats.org/officeDocument/2006/relationships" name="Desglose de Segmentos" sheetId="6" state="visible" r:id="rId6"/>
    <sheet xmlns:r="http://schemas.openxmlformats.org/officeDocument/2006/relationships" name="Scores Fundamentales" sheetId="7" state="visible" r:id="rId7"/>
    <sheet xmlns:r="http://schemas.openxmlformats.org/officeDocument/2006/relationships" name="Peer Group &amp; Medianas" sheetId="8" state="visible" r:id="rId8"/>
    <sheet xmlns:r="http://schemas.openxmlformats.org/officeDocument/2006/relationships" name="Auditoría Forense &amp; Devengos" sheetId="9" state="visible" r:id="rId9"/>
    <sheet xmlns:r="http://schemas.openxmlformats.org/officeDocument/2006/relationships" name="Solvencia &amp; Estrés Financiero" sheetId="10" state="visible" r:id="rId10"/>
    <sheet xmlns:r="http://schemas.openxmlformats.org/officeDocument/2006/relationships" name="Conciliación &amp; Fuentes" sheetId="11" state="visible" r:id="rId11"/>
  </sheets>
  <definedNames/>
  <calcPr calcId="124519" fullCalcOnLoad="1"/>
</workbook>
</file>

<file path=xl/styles.xml><?xml version="1.0" encoding="utf-8"?>
<styleSheet xmlns="http://schemas.openxmlformats.org/spreadsheetml/2006/main">
  <numFmts count="8">
    <numFmt numFmtId="164" formatCode="$#,##0.0;($#,##0.0);&quot;-&quot;"/>
    <numFmt numFmtId="165" formatCode="$#,##0.00;($#,##0.00);&quot;-&quot;"/>
    <numFmt numFmtId="166" formatCode="#,##0.0;(#,##0.0);&quot;-&quot;"/>
    <numFmt numFmtId="167" formatCode="0.00&quot;x&quot;"/>
    <numFmt numFmtId="168" formatCode="+0.00%;-0.00%;0.00%"/>
    <numFmt numFmtId="169" formatCode="0.0&quot;d&quot;"/>
    <numFmt numFmtId="170" formatCode="+0.0&quot;d&quot;;-0.0&quot;d&quot;;&quot;0.0d&quot;"/>
    <numFmt numFmtId="171" formatCode="0.0000"/>
  </numFmts>
  <fonts count="11">
    <font>
      <name val="Calibri"/>
      <family val="2"/>
      <color theme="1"/>
      <sz val="11"/>
      <scheme val="minor"/>
    </font>
    <font>
      <name val="Calibri"/>
      <b val="1"/>
      <color rgb="001B365D"/>
      <sz val="14"/>
    </font>
    <font>
      <name val="Calibri"/>
      <i val="1"/>
      <color rgb="00595959"/>
      <sz val="10"/>
    </font>
    <font>
      <name val="Calibri"/>
      <b val="1"/>
      <color rgb="00FFFFFF"/>
      <sz val="11"/>
    </font>
    <font>
      <name val="Calibri"/>
      <b val="1"/>
      <color rgb="00FFD700"/>
      <sz val="11"/>
    </font>
    <font>
      <name val="Calibri"/>
      <color rgb="00000000"/>
      <sz val="11"/>
    </font>
    <font>
      <name val="Calibri"/>
      <b val="1"/>
      <color rgb="00000000"/>
      <sz val="11"/>
    </font>
    <font>
      <name val="Calibri"/>
      <b val="1"/>
      <color rgb="001B365D"/>
      <sz val="11"/>
    </font>
    <font>
      <name val="Calibri"/>
      <b val="1"/>
      <color rgb="001B365D"/>
      <sz val="12"/>
    </font>
    <font>
      <name val="Calibri"/>
      <b val="1"/>
      <color rgb="00276A3C"/>
      <sz val="11"/>
    </font>
    <font>
      <name val="Calibri"/>
      <b val="1"/>
      <color rgb="00C00000"/>
      <sz val="11"/>
    </font>
  </fonts>
  <fills count="9">
    <fill>
      <patternFill/>
    </fill>
    <fill>
      <patternFill patternType="gray125"/>
    </fill>
    <fill>
      <patternFill patternType="solid">
        <fgColor rgb="001B365D"/>
        <bgColor rgb="001B365D"/>
      </patternFill>
    </fill>
    <fill>
      <patternFill patternType="solid">
        <fgColor rgb="000A3641"/>
        <bgColor rgb="000A3641"/>
      </patternFill>
    </fill>
    <fill>
      <patternFill patternType="solid">
        <fgColor rgb="00F0F4F9"/>
        <bgColor rgb="00F0F4F9"/>
      </patternFill>
    </fill>
    <fill>
      <patternFill patternType="solid">
        <fgColor rgb="00E2EFDA"/>
        <bgColor rgb="00E2EFDA"/>
      </patternFill>
    </fill>
    <fill>
      <patternFill patternType="solid">
        <fgColor rgb="00E8EEF5"/>
        <bgColor rgb="00E8EEF5"/>
      </patternFill>
    </fill>
    <fill>
      <patternFill patternType="solid">
        <fgColor rgb="00FCE4D6"/>
        <bgColor rgb="00FCE4D6"/>
      </patternFill>
    </fill>
    <fill>
      <patternFill patternType="solid">
        <fgColor rgb="00FFF2CC"/>
        <bgColor rgb="00FFF2CC"/>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thin">
        <color rgb="00000000"/>
      </bottom>
    </border>
    <border>
      <left style="thin">
        <color rgb="00D9D9D9"/>
      </left>
      <right style="thin">
        <color rgb="00D9D9D9"/>
      </right>
      <top style="thin">
        <color rgb="00000000"/>
      </top>
      <bottom style="double">
        <color rgb="00000000"/>
      </bottom>
    </border>
  </borders>
  <cellStyleXfs count="1">
    <xf numFmtId="0" fontId="0" fillId="0" borderId="0"/>
  </cellStyleXfs>
  <cellXfs count="1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3" fillId="2" borderId="0" applyAlignment="1" pivotButton="0" quotePrefix="0" xfId="0">
      <alignment horizontal="center" vertical="center"/>
    </xf>
    <xf numFmtId="0" fontId="5" fillId="0" borderId="1" pivotButton="0" quotePrefix="0" xfId="0"/>
    <xf numFmtId="164" fontId="5" fillId="0" borderId="1" pivotButton="0" quotePrefix="0" xfId="0"/>
    <xf numFmtId="0" fontId="6" fillId="4" borderId="2" pivotButton="0" quotePrefix="0" xfId="0"/>
    <xf numFmtId="164" fontId="6" fillId="4" borderId="2" pivotButton="0" quotePrefix="0" xfId="0"/>
    <xf numFmtId="0" fontId="6" fillId="5" borderId="2" pivotButton="0" quotePrefix="0" xfId="0"/>
    <xf numFmtId="164" fontId="6" fillId="5" borderId="2" pivotButton="0" quotePrefix="0" xfId="0"/>
    <xf numFmtId="0" fontId="6" fillId="0" borderId="2" pivotButton="0" quotePrefix="0" xfId="0"/>
    <xf numFmtId="164" fontId="6" fillId="0" borderId="2" pivotButton="0" quotePrefix="0" xfId="0"/>
    <xf numFmtId="165" fontId="6" fillId="4" borderId="2" pivotButton="0" quotePrefix="0" xfId="0"/>
    <xf numFmtId="165" fontId="5" fillId="0" borderId="1" pivotButton="0" quotePrefix="0" xfId="0"/>
    <xf numFmtId="166" fontId="6" fillId="0" borderId="2" pivotButton="0" quotePrefix="0" xfId="0"/>
    <xf numFmtId="166" fontId="5" fillId="0" borderId="1" pivotButton="0" quotePrefix="0" xfId="0"/>
    <xf numFmtId="0" fontId="7" fillId="6" borderId="0" pivotButton="0" quotePrefix="0" xfId="0"/>
    <xf numFmtId="0" fontId="0" fillId="6" borderId="0" pivotButton="0" quotePrefix="0" xfId="0"/>
    <xf numFmtId="10" fontId="5" fillId="0" borderId="1" applyAlignment="1" pivotButton="0" quotePrefix="0" xfId="0">
      <alignment horizontal="right" vertical="center"/>
    </xf>
    <xf numFmtId="167" fontId="5" fillId="0" borderId="1" applyAlignment="1" pivotButton="0" quotePrefix="0" xfId="0">
      <alignment horizontal="right" vertical="center"/>
    </xf>
    <xf numFmtId="164" fontId="5" fillId="0" borderId="1" applyAlignment="1" pivotButton="0" quotePrefix="0" xfId="0">
      <alignment horizontal="right" vertical="center"/>
    </xf>
    <xf numFmtId="168" fontId="5" fillId="0" borderId="1" applyAlignment="1" pivotButton="0" quotePrefix="0" xfId="0">
      <alignment horizontal="right" vertical="center"/>
    </xf>
    <xf numFmtId="0" fontId="6" fillId="4" borderId="2" applyAlignment="1" pivotButton="0" quotePrefix="0" xfId="0">
      <alignment horizontal="center"/>
    </xf>
    <xf numFmtId="0" fontId="5" fillId="0" borderId="1" applyAlignment="1" pivotButton="0" quotePrefix="0" xfId="0">
      <alignment horizontal="center"/>
    </xf>
    <xf numFmtId="0" fontId="6" fillId="4" borderId="3" pivotButton="0" quotePrefix="0" xfId="0"/>
    <xf numFmtId="164" fontId="6" fillId="4" borderId="3" pivotButton="0" quotePrefix="0" xfId="0"/>
    <xf numFmtId="0" fontId="6" fillId="0" borderId="2" applyAlignment="1" pivotButton="0" quotePrefix="0" xfId="0">
      <alignment horizontal="center"/>
    </xf>
    <xf numFmtId="0" fontId="6" fillId="6" borderId="0" pivotButton="0" quotePrefix="0" xfId="0"/>
    <xf numFmtId="0" fontId="6" fillId="6" borderId="1" applyAlignment="1" pivotButton="0" quotePrefix="0" xfId="0">
      <alignment horizontal="left" vertical="center"/>
    </xf>
    <xf numFmtId="0" fontId="0" fillId="0" borderId="1" pivotButton="0" quotePrefix="0" xfId="0"/>
    <xf numFmtId="0" fontId="6" fillId="0" borderId="0" pivotButton="0" quotePrefix="0" xfId="0"/>
    <xf numFmtId="0" fontId="8" fillId="0" borderId="0" pivotButton="0" quotePrefix="0" xfId="0"/>
    <xf numFmtId="0" fontId="2" fillId="0" borderId="0" applyAlignment="1" pivotButton="0" quotePrefix="0" xfId="0">
      <alignment horizontal="left" vertical="center" wrapText="1"/>
    </xf>
    <xf numFmtId="0" fontId="2" fillId="0" borderId="1" pivotButton="0" quotePrefix="0" xfId="0"/>
    <xf numFmtId="0" fontId="9" fillId="5" borderId="1" applyAlignment="1" pivotButton="0" quotePrefix="0" xfId="0">
      <alignment horizontal="center" vertical="center"/>
    </xf>
    <xf numFmtId="0" fontId="10" fillId="7" borderId="1" applyAlignment="1" pivotButton="0" quotePrefix="0" xfId="0">
      <alignment horizontal="center" vertical="center"/>
    </xf>
    <xf numFmtId="0" fontId="8" fillId="8" borderId="2" applyAlignment="1" pivotButton="0" quotePrefix="0" xfId="0">
      <alignment horizontal="center" vertical="center"/>
    </xf>
    <xf numFmtId="0" fontId="8" fillId="5" borderId="2" applyAlignment="1" pivotButton="0" quotePrefix="0" xfId="0">
      <alignment horizontal="center" vertical="center"/>
    </xf>
    <xf numFmtId="0" fontId="8" fillId="7" borderId="2" applyAlignment="1" pivotButton="0" quotePrefix="0" xfId="0">
      <alignment horizontal="center" vertical="center"/>
    </xf>
    <xf numFmtId="0" fontId="6" fillId="0" borderId="1" applyAlignment="1" pivotButton="0" quotePrefix="0" xfId="0">
      <alignment horizontal="center" vertical="center"/>
    </xf>
    <xf numFmtId="0" fontId="6" fillId="0" borderId="1" pivotButton="0" quotePrefix="0" xfId="0"/>
    <xf numFmtId="10" fontId="5" fillId="5" borderId="1" applyAlignment="1" pivotButton="0" quotePrefix="0" xfId="0">
      <alignment horizontal="right" vertical="center"/>
    </xf>
    <xf numFmtId="168" fontId="6" fillId="0" borderId="1" applyAlignment="1" pivotButton="0" quotePrefix="0" xfId="0">
      <alignment horizontal="right" vertical="center"/>
    </xf>
    <xf numFmtId="10" fontId="6" fillId="5" borderId="1" applyAlignment="1" pivotButton="0" quotePrefix="0" xfId="0">
      <alignment horizontal="right" vertical="center"/>
    </xf>
    <xf numFmtId="10" fontId="6" fillId="0" borderId="1" applyAlignment="1" pivotButton="0" quotePrefix="0" xfId="0">
      <alignment horizontal="right" vertical="center"/>
    </xf>
    <xf numFmtId="168" fontId="6" fillId="5" borderId="1" applyAlignment="1" pivotButton="0" quotePrefix="0" xfId="0">
      <alignment horizontal="right" vertical="center"/>
    </xf>
    <xf numFmtId="168" fontId="6" fillId="7" borderId="1" applyAlignment="1" pivotButton="0" quotePrefix="0" xfId="0">
      <alignment horizontal="right" vertical="center"/>
    </xf>
    <xf numFmtId="0" fontId="8" fillId="0" borderId="1" pivotButton="0" quotePrefix="0" xfId="0"/>
    <xf numFmtId="0" fontId="2" fillId="6" borderId="0" pivotButton="0" quotePrefix="0" xfId="0"/>
    <xf numFmtId="0" fontId="3" fillId="2" borderId="0" applyAlignment="1" pivotButton="0" quotePrefix="0" xfId="0">
      <alignment horizontal="center" vertical="center" wrapText="1"/>
    </xf>
    <xf numFmtId="0" fontId="6" fillId="6" borderId="1" applyAlignment="1" pivotButton="0" quotePrefix="0" xfId="0">
      <alignment horizontal="center"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168" fontId="6" fillId="6" borderId="1" applyAlignment="1" pivotButton="0" quotePrefix="0" xfId="0">
      <alignment horizontal="righ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164" fontId="6" fillId="5" borderId="2" applyAlignment="1" pivotButton="0" quotePrefix="0" xfId="0">
      <alignment horizontal="right" vertical="center"/>
    </xf>
    <xf numFmtId="10" fontId="6" fillId="5" borderId="2" applyAlignment="1" pivotButton="0" quotePrefix="0" xfId="0">
      <alignment horizontal="right" vertical="center"/>
    </xf>
    <xf numFmtId="168" fontId="6" fillId="5" borderId="2"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0" fontId="6" fillId="8" borderId="1" applyAlignment="1" pivotButton="0" quotePrefix="0" xfId="0">
      <alignment horizontal="center" vertical="center"/>
    </xf>
    <xf numFmtId="0" fontId="6" fillId="8" borderId="1" applyAlignment="1" pivotButton="0" quotePrefix="0" xfId="0">
      <alignment horizontal="left" vertical="center"/>
    </xf>
    <xf numFmtId="164" fontId="6" fillId="8" borderId="1" applyAlignment="1" pivotButton="0" quotePrefix="0" xfId="0">
      <alignment horizontal="right" vertical="center"/>
    </xf>
    <xf numFmtId="10" fontId="6" fillId="8" borderId="1" applyAlignment="1" pivotButton="0" quotePrefix="0" xfId="0">
      <alignment horizontal="right" vertical="center"/>
    </xf>
    <xf numFmtId="168" fontId="6" fillId="8" borderId="1" applyAlignment="1" pivotButton="0" quotePrefix="0" xfId="0">
      <alignment horizontal="right" vertical="center"/>
    </xf>
    <xf numFmtId="0" fontId="6" fillId="6" borderId="3" applyAlignment="1" pivotButton="0" quotePrefix="0" xfId="0">
      <alignment horizontal="center" vertical="center"/>
    </xf>
    <xf numFmtId="0" fontId="6" fillId="6" borderId="3" applyAlignment="1" pivotButton="0" quotePrefix="0" xfId="0">
      <alignment horizontal="left" vertical="center"/>
    </xf>
    <xf numFmtId="1" fontId="6" fillId="6" borderId="3" applyAlignment="1" pivotButton="0" quotePrefix="0" xfId="0">
      <alignment horizontal="right" vertical="center"/>
    </xf>
    <xf numFmtId="0" fontId="2" fillId="0" borderId="1" applyAlignment="1" pivotButton="0" quotePrefix="0" xfId="0">
      <alignment horizontal="center" vertical="center"/>
    </xf>
    <xf numFmtId="164" fontId="0" fillId="0" borderId="1" applyAlignment="1" pivotButton="0" quotePrefix="0" xfId="0">
      <alignment horizontal="right" vertical="center"/>
    </xf>
    <xf numFmtId="164" fontId="0" fillId="0" borderId="2" applyAlignment="1" pivotButton="0" quotePrefix="0" xfId="0">
      <alignment horizontal="right" vertical="center"/>
    </xf>
    <xf numFmtId="10" fontId="9" fillId="5" borderId="3" applyAlignment="1" pivotButton="0" quotePrefix="0" xfId="0">
      <alignment horizontal="right" vertical="center"/>
    </xf>
    <xf numFmtId="0" fontId="9" fillId="5" borderId="1" applyAlignment="1" pivotButton="0" quotePrefix="0" xfId="0">
      <alignment horizontal="center" vertical="center"/>
    </xf>
    <xf numFmtId="0" fontId="2" fillId="4" borderId="1" applyAlignment="1" pivotButton="0" quotePrefix="0" xfId="0">
      <alignment horizontal="left" vertical="center" wrapText="1"/>
    </xf>
    <xf numFmtId="168" fontId="0" fillId="0" borderId="1" applyAlignment="1" pivotButton="0" quotePrefix="0" xfId="0">
      <alignment horizontal="right" vertical="center"/>
    </xf>
    <xf numFmtId="0" fontId="0" fillId="0" borderId="1" applyAlignment="1" pivotButton="0" quotePrefix="0" xfId="0">
      <alignment horizontal="right" vertical="center"/>
    </xf>
    <xf numFmtId="168" fontId="9" fillId="5" borderId="1" applyAlignment="1" pivotButton="0" quotePrefix="0" xfId="0">
      <alignment horizontal="right" vertical="center"/>
    </xf>
    <xf numFmtId="168" fontId="10" fillId="7" borderId="1" applyAlignment="1" pivotButton="0" quotePrefix="0" xfId="0">
      <alignment horizontal="right" vertical="center"/>
    </xf>
    <xf numFmtId="169" fontId="0" fillId="0" borderId="1" applyAlignment="1" pivotButton="0" quotePrefix="0" xfId="0">
      <alignment horizontal="right" vertical="center"/>
    </xf>
    <xf numFmtId="170" fontId="0" fillId="0" borderId="1" applyAlignment="1" pivotButton="0" quotePrefix="0" xfId="0">
      <alignment horizontal="right" vertical="center"/>
    </xf>
    <xf numFmtId="10" fontId="9" fillId="5" borderId="1" applyAlignment="1" pivotButton="0" quotePrefix="0" xfId="0">
      <alignment horizontal="right" vertical="center"/>
    </xf>
    <xf numFmtId="0" fontId="2" fillId="0" borderId="1" applyAlignment="1" pivotButton="0" quotePrefix="0" xfId="0">
      <alignment horizontal="left" vertical="center"/>
    </xf>
    <xf numFmtId="0" fontId="10" fillId="7" borderId="1" applyAlignment="1" pivotButton="0" quotePrefix="0" xfId="0">
      <alignment horizontal="center" vertical="center"/>
    </xf>
    <xf numFmtId="0" fontId="6" fillId="0" borderId="3" pivotButton="0" quotePrefix="0" xfId="0"/>
    <xf numFmtId="0" fontId="6" fillId="0" borderId="3" applyAlignment="1" pivotButton="0" quotePrefix="0" xfId="0">
      <alignment horizontal="center" vertical="center"/>
    </xf>
    <xf numFmtId="0" fontId="6" fillId="8" borderId="3" applyAlignment="1" pivotButton="0" quotePrefix="0" xfId="0">
      <alignment horizontal="center" vertical="center"/>
    </xf>
    <xf numFmtId="0" fontId="10" fillId="7" borderId="3" applyAlignment="1" pivotButton="0" quotePrefix="0" xfId="0">
      <alignment horizontal="center" vertical="center"/>
    </xf>
    <xf numFmtId="0" fontId="9" fillId="5" borderId="3" applyAlignment="1" pivotButton="0" quotePrefix="0" xfId="0">
      <alignment horizontal="center" vertical="center"/>
    </xf>
    <xf numFmtId="0" fontId="6" fillId="0" borderId="1" applyAlignment="1" pivotButton="0" quotePrefix="0" xfId="0">
      <alignment horizontal="left" vertical="center" wrapText="1"/>
    </xf>
    <xf numFmtId="0" fontId="2" fillId="0" borderId="2" pivotButton="0" quotePrefix="0" xfId="0"/>
    <xf numFmtId="0" fontId="2" fillId="0" borderId="2" applyAlignment="1" pivotButton="0" quotePrefix="0" xfId="0">
      <alignment horizontal="center" vertical="center"/>
    </xf>
    <xf numFmtId="164" fontId="6" fillId="0" borderId="2" applyAlignment="1" pivotButton="0" quotePrefix="0" xfId="0">
      <alignment horizontal="right" vertical="center"/>
    </xf>
    <xf numFmtId="0" fontId="2" fillId="0" borderId="3" pivotButton="0" quotePrefix="0" xfId="0"/>
    <xf numFmtId="0" fontId="2" fillId="0" borderId="3" applyAlignment="1" pivotButton="0" quotePrefix="0" xfId="0">
      <alignment horizontal="center" vertical="center"/>
    </xf>
    <xf numFmtId="167" fontId="6" fillId="0" borderId="3" applyAlignment="1" pivotButton="0" quotePrefix="0" xfId="0">
      <alignment horizontal="right" vertical="center"/>
    </xf>
    <xf numFmtId="0" fontId="6" fillId="4" borderId="1" applyAlignment="1" pivotButton="0" quotePrefix="0" xfId="0">
      <alignment horizontal="center" vertical="center"/>
    </xf>
    <xf numFmtId="167" fontId="6" fillId="8" borderId="3" applyAlignment="1" pivotButton="0" quotePrefix="0" xfId="0">
      <alignment horizontal="right" vertical="center"/>
    </xf>
    <xf numFmtId="167" fontId="6" fillId="4" borderId="3" applyAlignment="1" pivotButton="0" quotePrefix="0" xfId="0">
      <alignment horizontal="right" vertical="center"/>
    </xf>
    <xf numFmtId="167" fontId="9" fillId="5" borderId="1" applyAlignment="1" pivotButton="0" quotePrefix="0" xfId="0">
      <alignment horizontal="right" vertical="center"/>
    </xf>
    <xf numFmtId="167" fontId="6" fillId="4" borderId="1" applyAlignment="1" pivotButton="0" quotePrefix="0" xfId="0">
      <alignment horizontal="right" vertical="center"/>
    </xf>
    <xf numFmtId="10" fontId="0" fillId="0" borderId="1" applyAlignment="1" pivotButton="0" quotePrefix="0" xfId="0">
      <alignment horizontal="right" vertical="center"/>
    </xf>
    <xf numFmtId="167" fontId="0" fillId="0" borderId="1" applyAlignment="1" pivotButton="0" quotePrefix="0" xfId="0">
      <alignment horizontal="right" vertical="center"/>
    </xf>
    <xf numFmtId="167" fontId="6" fillId="8" borderId="2" applyAlignment="1" pivotButton="0" quotePrefix="0" xfId="0">
      <alignment horizontal="right" vertical="center"/>
    </xf>
    <xf numFmtId="167" fontId="6" fillId="4" borderId="2" applyAlignment="1" pivotButton="0" quotePrefix="0" xfId="0">
      <alignment horizontal="right" vertical="center"/>
    </xf>
    <xf numFmtId="171" fontId="5" fillId="0" borderId="1" applyAlignment="1" pivotButton="0" quotePrefix="0" xfId="0">
      <alignment horizontal="right" vertical="center"/>
    </xf>
    <xf numFmtId="2" fontId="6" fillId="0" borderId="3" applyAlignment="1" pivotButton="0" quotePrefix="0" xfId="0">
      <alignment horizontal="right" vertical="center"/>
    </xf>
    <xf numFmtId="0" fontId="3" fillId="2"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Glosario Financiero SEC</author>
  </authors>
  <commentList>
    <comment ref="A6" authorId="0" shapeId="0">
      <text>
        <t>Margen Bruto = (Ingresos - Coste de Ventas) / Ingresos
Mide el porcentaje de ventas que la empresa retiene tras cubrir los costes directos de fabricación. Una expansión sostenida indica poder de fijación de precios y ventajas competitivas (Moat).</t>
      </text>
    </comment>
    <comment ref="A7" authorId="0" shapeId="0">
      <text>
        <t>Margen Operativo = Beneficio Operativo (EBIT) / Ingresos
Mide la rentabilidad de las operaciones principales tras absorber gastos de I+D y comerciales (SG&amp;A).</t>
      </text>
    </comment>
    <comment ref="A8" authorId="0" shapeId="0">
      <text>
        <t>Margen Neto = Beneficio Neto (Net Income) / Ingresos
Porcentaje final de ingresos que se traduce en ganancias netas disponibles para los accionistas.</t>
      </text>
    </comment>
    <comment ref="A9" authorId="0" shapeId="0">
      <text>
        <t>Margen FCF = Flujo de Caja Libre / Ingresos
Porcentaje de ingresos convertido directamente en caja líquida libre tras pagar inversiones de capital (CapEx).</t>
      </text>
    </comment>
    <comment ref="A10" authorId="0" shapeId="0">
      <text>
        <t>Tasa de Conversión = Free Cash Flow / Net Income
Mide la calidad contable de los beneficios. Si es superior a 100%, indica que las ganancias contables están más que respaldadas por efectivo real generado.</t>
      </text>
    </comment>
    <comment ref="A13" authorId="0" shapeId="0">
      <text>
        <t>ROE = Beneficio Neto / Promedio de Patrimonio Neto ((t + t-1) / 2)
Rentabilidad obtenida sobre los fondos propios medios del ejercicio.
El uso de patrimonio promedio mitiga distorsiones provocadas por recompras masivas de acciones o variaciones puntuales al cierre (Estándar institucional FactSet/Bloomberg).</t>
      </text>
    </comment>
    <comment ref="A14" authorId="0" shapeId="0">
      <text>
        <t>ROA = Beneficio Neto / Promedio de Activos Totales ((t + t-1) / 2)
Mide la eficiencia con la que la gerencia utiliza los activos medios operativos del ejercicio para generar beneficios netos.
Cumple con el principio contable de correspondencia temporal (Matching Principle), evitando castigar a empresas en fuerte crecimiento orgánico.</t>
      </text>
    </comment>
    <comment ref="A15" authorId="0" shapeId="0">
      <text>
        <t>ROC Greenblatt (Magic Formula) = EBIT / Capital Tangible Operativo Promedio
Mide la rentabilidad y productividad económica pura del negocio sobre los activos físicos y operativos requeridos para operar.
Excluye deuda, impuestos e intangibles capitalizados. Denominador = Promedio de (Capital de Trabajo Neto Operativo + PP&amp;E Neto).
Detección en Balances SEC:
• Numerador: Operating Income del Estado de Resultados (10-K / 10-Q).
• Activos Op.: Total Current Assets menos Efectivo y Valores Negociables.
• Pasivos Op.: Total Current Liabilities menos Commercial Paper y Deuda CP.
• PP&amp;E Neto: Property, plant and equipment, net del Balance.
• Salvaguarda: Si NWC &lt; 0, Capital Tangible se acota al PP&amp;E Neto.</t>
      </text>
    </comment>
    <comment ref="A18" authorId="0" shapeId="0">
      <text>
        <t>Current Ratio = Activo Corriente / Pasivo Corriente
Mide la solvencia de corto plazo (&lt; 1 año). Un valor &gt; 1.0x indica que los activos líquidos cubren las deudas inmediatas.</t>
      </text>
    </comment>
    <comment ref="A19" authorId="0" shapeId="0">
      <text>
        <t>Debt to Equity = Deuda Financiera Total / Patrimonio Neto
Mide el grado de apalancamiento financiero y la dependencia de acreedores frente al capital propio.</t>
      </text>
    </comment>
    <comment ref="A22" authorId="0" shapeId="0">
      <text>
        <t>Gross Profitability (Novy-Marx) = Utilidad Bruta / Activos Totales
Mide la productividad económica pura del capital instalado. Libre de distorsiones por gastos financieros, impuestos, amortizaciones contables o gastos corporativos. Factor clave de Quality Investing (Novy-Marx 2013 / Fama-French RMW).</t>
      </text>
    </comment>
    <comment ref="A23" authorId="0" shapeId="0">
      <text>
        <t>Gross Profitability Operativa = Utilidad Bruta / (Activos Totales - Caja y Equivalentes)
Aísla el efecto de la tesorería ociosa, evaluando el retorno generado exclusivamente sobre los activos que operan activamente en el negocio.</t>
      </text>
    </comment>
    <comment ref="A24" authorId="0" shapeId="0">
      <text>
        <t>Cash Drag = Gross Profitability Operativa - Gross Profitability Total
Mide en puntos porcentuales cuánto diluye la caja acumulada la rentabilidad nominal sobre activos. Un valor elevado revela una tesorería masiva que esconde la verdadera potencia productiva del negocio.</t>
      </text>
    </comment>
    <comment ref="A25" authorId="0" shapeId="0">
      <text>
        <t>Margen Bruto = Utilidad Bruta / Ingresos
Componente de margen en la descomposición DuPont de Novy-Marx. Evalúa pricing power y moat de marca.</t>
      </text>
    </comment>
    <comment ref="A26" authorId="0" shapeId="0">
      <text>
        <t>Rotación de Activos = Ingresos / Activos Totales
Componente de velocidad en DuPont. Mide cuántas veces al año la empresa convierte sus activos en ventas.</t>
      </text>
    </comment>
    <comment ref="A27" authorId="0" shapeId="0">
      <text>
        <t>Rotación Operativa = Ingresos / (Activos Totales - Caja)
Velocidad de facturación generada por cada dólar de activo operativo directo.</t>
      </text>
    </comment>
    <comment ref="A30" authorId="0" shapeId="0">
      <text>
        <t>ROIC Tradicional = NOPAT / Capital Invertido Promedio en Libros ((t + t-1) / 2)
Mide el retorno sobre activos tangibles registrados calculados sobre capital medio.
Tiende a estar artificialmente inflado en empresas de tecnología o marca masiva porque I+D y Publicidad se expulsan a gastos corrientes.</t>
      </text>
    </comment>
    <comment ref="A31" authorId="0" shapeId="0">
      <text>
        <t>ROIC Ajustado = NOPAT Ajustado / Capital Invertido Promedio Reconstituido ((t + t-1) / 2)
Metodología Damodaran/Mauboussin. Capitaliza I+D y Marketing amortizándolos económicamente.
Calculado sobre el Capital Invertido Promedio para garantizar la estricta correspondencia temporal con el NOPAT del ejercicio.</t>
      </text>
    </comment>
    <comment ref="A32" authorId="0" shapeId="0">
      <text>
        <t>Valor neto acumulado en balance de los gastos de I+D y Marca tras aplicar amortización lineal de N años.</t>
      </text>
    </comment>
    <comment ref="A33" authorId="0" shapeId="0">
      <text>
        <t>Capital Invertido Total Promedio = Promedio de (Activos Operativos + Stock Neto de Intangibles Capitalizados) ((t + t-1) / 2).</t>
      </text>
    </comment>
    <comment ref="A34" authorId="0" shapeId="0">
      <text>
        <t>WACC = (We * Ke) + (Wd * Kd * (1 - t))
Tasa de corte mínima exigida por accionistas y acreedores a valor de mercado.</t>
      </text>
    </comment>
    <comment ref="A35" authorId="0" shapeId="0">
      <text>
        <t>Spread Económico = ROIC Ajustado - WACC (puntos porcentuales)
Si es &gt; 0, crea valor económico neto (EVA). Si es &gt; +15%, califica como Foso Defensivo Excepcional (Wide Moat).</t>
      </text>
    </comment>
  </commentList>
</comments>
</file>

<file path=xl/comments/comment2.xml><?xml version="1.0" encoding="utf-8"?>
<comments xmlns="http://schemas.openxmlformats.org/spreadsheetml/2006/main">
  <authors>
    <author>Auditoría Fundamental SEC</author>
  </authors>
  <commentList>
    <comment ref="A8" authorId="0" shapeId="0">
      <text>
        <t>CRITERIO PIOTROSKI F-SCORE: ROA Positivo
• Categoría: Rentabilidad
• Regla Oficial: Net Income / Activos t-1 &gt; 0
• Lógica Contable: Utilidad neta positiva sobre la base de activos instalados.
• Fuente Oficial: SEC EDGAR Form 10-K / 10-Q XBRL</t>
      </text>
    </comment>
    <comment ref="A9" authorId="0" shapeId="0">
      <text>
        <t>CRITERIO PIOTROSKI F-SCORE: CFO Positivo
• Categoría: Rentabilidad
• Regla Oficial: Operating Cash Flow &gt; 0
• Lógica Contable: Flujo de caja operativo neto positivo.
• Fuente Oficial: SEC EDGAR Form 10-K / 10-Q XBRL</t>
      </text>
    </comment>
    <comment ref="A10" authorId="0" shapeId="0">
      <text>
        <t>CRITERIO PIOTROSKI F-SCORE: Mejora Interanual de ROA
• Categoría: Rentabilidad
• Regla Oficial: Delta ROA &gt; 0%
• Lógica Contable: Aceleración de la rentabilidad sobre activos frente al año previo.
• Fuente Oficial: SEC EDGAR Form 10-K / 10-Q XBRL</t>
      </text>
    </comment>
    <comment ref="A11" authorId="0" shapeId="0">
      <text>
        <t>CRITERIO PIOTROSKI F-SCORE: Calidad Contable de Sloan
• Categoría: Rentabilidad
• Regla Oficial: CFO &gt; Net Income
• Lógica Contable: Beneficios respaldados por efectivo contante (bajos devengos contables).
• Fuente Oficial: SEC EDGAR Form 10-K / 10-Q XBRL</t>
      </text>
    </comment>
    <comment ref="A12" authorId="0" shapeId="0">
      <text>
        <t>CRITERIO PIOTROSKI F-SCORE: Desendeudamiento Financiero Total
• Categoría: Apalancamiento
• Regla Oficial: Delta Deuda Total &lt;= 0%
• Lógica Contable: Reducción o estabilidad del apalancamiento financiero total sobre activos.
• Fuente Oficial: SEC EDGAR Form 10-K / 10-Q XBRL</t>
      </text>
    </comment>
    <comment ref="A13" authorId="0" shapeId="0">
      <text>
        <t>CRITERIO PIOTROSKI F-SCORE: Mejora de Razón Corriente
• Categoría: Liquidez
• Regla Oficial: Delta Current Ratio &gt; 0x
• Lógica Contable: Mayor cobertura de pasivos a corto plazo con activos corrientes.
• Fuente Oficial: SEC EDGAR Form 10-K / 10-Q XBRL</t>
      </text>
    </comment>
    <comment ref="A14" authorId="0" shapeId="0">
      <text>
        <t>CRITERIO PIOTROSKI F-SCORE: Cero Dilución (Acciones Básicas)
• Categoría: Capital
• Regla Oficial: Delta Acciones Básicas &lt;= 0
• Lógica Contable: Sin emisión neta dilutiva de capital; recompra de acciones o estabilidad.
• Fuente Oficial: SEC EDGAR Form 10-K / 10-Q XBRL</t>
      </text>
    </comment>
    <comment ref="A15" authorId="0" shapeId="0">
      <text>
        <t>CRITERIO PIOTROSKI F-SCORE: Expansión de Margen Bruto
• Categoría: Eficiencia
• Regla Oficial: Delta Margen Bruto &gt; 0%
• Lógica Contable: Mayor poder de fijación de precios o menor coste unitario de ventas.
• Fuente Oficial: SEC EDGAR Form 10-K / 10-Q XBRL</t>
      </text>
    </comment>
    <comment ref="A16" authorId="0" shapeId="0">
      <text>
        <t>CRITERIO PIOTROSKI F-SCORE: Expansión Rotación Activos
• Categoría: Eficiencia
• Regla Oficial: Delta Rotación Activos &gt; 0x
• Lógica Contable: Mayor volumen de ingresos generado por cada dólar de activo instalado.
• Fuente Oficial: SEC EDGAR Form 10-K / 10-Q XBRL</t>
      </text>
    </comment>
    <comment ref="D17" authorId="0" shapeId="0">
      <text>
        <t>TOTAL PIOTROSKI F-SCORE (LTM)
• Puntuación: 5 de 9 Puntos
• Clasificación: SALUD MODERADA
• Escala Institucional:
  - 8-9 Pts: Fortaleza Financiera Sobresaliente
  - 5-7 Pts: Situación Estable
  - 0-4 Pts: Fragilidad / Alerta Financiera</t>
      </text>
    </comment>
    <comment ref="E17" authorId="0" shapeId="0">
      <text>
        <t>TOTAL PIOTROSKI F-SCORE (FY2025)
• Puntuación: 5 de 9 Puntos
• Clasificación: SALUD MODERADA
• Escala Institucional:
  - 8-9 Pts: Fortaleza Financiera Sobresaliente
  - 5-7 Pts: Situación Estable
  - 0-4 Pts: Fragilidad / Alerta Financiera</t>
      </text>
    </comment>
    <comment ref="F17" authorId="0" shapeId="0">
      <text>
        <t>TOTAL PIOTROSKI F-SCORE (FY2024)
• Puntuación: 6 de 9 Puntos
• Clasificación: SALUD SÓLIDA
• Escala Institucional:
  - 8-9 Pts: Fortaleza Financiera Sobresaliente
  - 5-7 Pts: Situación Estable
  - 0-4 Pts: Fragilidad / Alerta Financiera</t>
      </text>
    </comment>
    <comment ref="G17" authorId="0" shapeId="0">
      <text>
        <t>TOTAL PIOTROSKI F-SCORE (FY2023)
• Puntuación: 8 de 9 Puntos
• Clasificación: SALUD EXCEPCIONAL
• Escala Institucional:
  - 8-9 Pts: Fortaleza Financiera Sobresaliente
  - 5-7 Pts: Situación Estable
  - 0-4 Pts: Fragilidad / Alerta Financiera</t>
      </text>
    </comment>
    <comment ref="H17" authorId="0" shapeId="0">
      <text>
        <t>TOTAL PIOTROSKI F-SCORE (FY2022)
• Puntuación: 5 de 9 Puntos
• Clasificación: SALUD MODERADA
• Escala Institucional:
  - 8-9 Pts: Fortaleza Financiera Sobresaliente
  - 5-7 Pts: Situación Estable
  - 0-4 Pts: Fragilidad / Alerta Financiera</t>
      </text>
    </comment>
    <comment ref="I17" authorId="0" shapeId="0">
      <text>
        <t>TOTAL PIOTROSKI F-SCORE (FY2021)
• Puntuación: 6 de 9 Puntos
• Clasificación: SALUD SÓLIDA
• Escala Institucional:
  - 8-9 Pts: Fortaleza Financiera Sobresaliente
  - 5-7 Pts: Situación Estable
  - 0-4 Pts: Fragilidad / Alerta Financiera</t>
      </text>
    </comment>
    <comment ref="J17" authorId="0" shapeId="0">
      <text>
        <t>TOTAL PIOTROSKI F-SCORE (FY2020)
• Puntuación: 4 de 9 Puntos
• Clasificación: VULNERABILIDAD FINANCIERA
• Escala Institucional:
  - 8-9 Pts: Fortaleza Financiera Sobresaliente
  - 5-7 Pts: Situación Estable
  - 0-4 Pts: Fragilidad / Alerta Financiera</t>
      </text>
    </comment>
    <comment ref="K17" authorId="0" shapeId="0">
      <text>
        <t>TOTAL PIOTROSKI F-SCORE (FY2019)
• Puntuación: 5 de 9 Puntos
• Clasificación: SALUD MODERADA
• Escala Institucional:
  - 8-9 Pts: Fortaleza Financiera Sobresaliente
  - 5-7 Pts: Situación Estable
  - 0-4 Pts: Fragilidad / Alerta Financiera</t>
      </text>
    </comment>
    <comment ref="L17" authorId="0" shapeId="0">
      <text>
        <t>TOTAL PIOTROSKI F-SCORE (FY2018)
• Puntuación: 4 de 9 Puntos
• Clasificación: VULNERABILIDAD FINANCIERA
• Escala Institucional:
  - 8-9 Pts: Fortaleza Financiera Sobresaliente
  - 5-7 Pts: Situación Estable
  - 0-4 Pts: Fragilidad / Alerta Financiera</t>
      </text>
    </comment>
    <comment ref="M17" authorId="0" shapeId="0">
      <text>
        <t>TOTAL PIOTROSKI F-SCORE (FY2017)
• Puntuación: 4 de 9 Puntos
• Clasificación: VULNERABILIDAD FINANCIERA
• Escala Institucional:
  - 8-9 Pts: Fortaleza Financiera Sobresaliente
  - 5-7 Pts: Situación Estable
  - 0-4 Pts: Fragilidad / Alerta Financiera</t>
      </text>
    </comment>
    <comment ref="N17" authorId="0" shapeId="0">
      <text>
        <t>TOTAL PIOTROSKI F-SCORE (FY2016)
• Puntuación: 3 de 9 Puntos
• Clasificación: VULNERABILIDAD FINANCIERA
• Escala Institucional:
  - 8-9 Pts: Fortaleza Financiera Sobresaliente
  - 5-7 Pts: Situación Estable
  - 0-4 Pts: Fragilidad / Alerta Financiera</t>
      </text>
    </comment>
    <comment ref="A22" authorId="0" shapeId="0">
      <text>
        <t>CRITERIO MOHANRAM G-SCORE: ROA &gt; Mediana del Sector
• Categoría: Rentabilidad
• Benchmark Sectorial Oficial: &gt; Mediana Sector (8.04%)
• Lógica Contable: Rentabilidad sobre activos superior a la mitad del sector.
• Fuente: SEC EDGAR &amp; Mediana del Sector SIC 7389 (Hoja 8: 'Peer Group &amp; Medianas')</t>
      </text>
    </comment>
    <comment ref="A23" authorId="0" shapeId="0">
      <text>
        <t>CRITERIO MOHANRAM G-SCORE: CFROA &gt; Mediana del Sector
• Categoría: Flujo de Caja
• Benchmark Sectorial Oficial: &gt; Mediana Sector (18.08%)
• Lógica Contable: Generación de caja operativa sobre activos líder en la industria.
• Fuente: SEC EDGAR &amp; Mediana del Sector SIC 7389 (Hoja 8: 'Peer Group &amp; Medianas')</t>
      </text>
    </comment>
    <comment ref="A24" authorId="0" shapeId="0">
      <text>
        <t>CRITERIO MOHANRAM G-SCORE: Calidad Contable (CFO &gt; NI)
• Categoría: Devengos
• Benchmark Sectorial Oficial: CFO &gt; Utilidad Neta
• Lógica Contable: Flujo de caja operativo superior a las ganancias devengadas.
• Fuente: SEC EDGAR &amp; Mediana del Sector SIC 7389 (Hoja 8: 'Peer Group &amp; Medianas')</t>
      </text>
    </comment>
    <comment ref="A25" authorId="0" shapeId="0">
      <text>
        <t>CRITERIO MOHANRAM G-SCORE: Estabilidad / Nivel Superior de ROA
• Categoría: Predictibilidad
• Benchmark Sectorial Oficial: CV &lt; 0.38 o ROA &gt;= P75 (8.18%)
• Lógica Contable: Baja volatilidad en rentabilidad o nivel de retorno permanentemente en percentil 75 superior.
• Fuente: SEC EDGAR &amp; Mediana del Sector SIC 7389 (Hoja 8: 'Peer Group &amp; Medianas')</t>
      </text>
    </comment>
    <comment ref="A26" authorId="0" shapeId="0">
      <text>
        <t>CRITERIO MOHANRAM G-SCORE: Estabilidad / Hipercrecimiento
• Categoría: Predictibilidad
• Benchmark Sectorial Oficial: CV &lt; 0.40 o g &gt;= 20%
• Lógica Contable: Trayectoria predecible de ingresos o expansión acelerada superior al 20% anual.
• Fuente: SEC EDGAR &amp; Mediana del Sector SIC 7389 (Hoja 8: 'Peer Group &amp; Medianas')</t>
      </text>
    </comment>
    <comment ref="A27" authorId="0" shapeId="0">
      <text>
        <t>CRITERIO MOHANRAM G-SCORE: Intensidad en I+D vs Sector
• Categoría: Intangibles
• Benchmark Sectorial Oficial: R&amp;D / Activos &gt; 9.77%
• Lógica Contable: Reinversión en investigación y desarrollo para fortalecer ventajas competitivas (moats).
• Fuente: SEC EDGAR &amp; Mediana del Sector SIC 7389 (Hoja 8: 'Peer Group &amp; Medianas')</t>
      </text>
    </comment>
    <comment ref="A28" authorId="0" shapeId="0">
      <text>
        <t>CRITERIO MOHANRAM G-SCORE: Inversión de Capital / Asset-Light
• Categoría: Inversión
• Benchmark Sectorial Oficial: CapEx / Activos &gt; 4.49%
• Lógica Contable: Reinversión en infraestructura de capital físico (CapEx) sobre activos.
• Fuente: SEC EDGAR &amp; Mediana del Sector SIC 7389 (Hoja 8: 'Peer Group &amp; Medianas')</t>
      </text>
    </comment>
    <comment ref="A29" authorId="0" shapeId="0">
      <text>
        <t>CRITERIO MOHANRAM G-SCORE: Apalancamiento Comercial (SG&amp;A)
• Categoría: Eficiencia
• Benchmark Sectorial Oficial: % Delta Ventas &gt; % Delta SG&amp;A
• Lógica Contable: Eficiencia comercial: ingresos escalan con mayor dinamismo que los gastos administrativos y de ventas.
• Fuente: SEC EDGAR &amp; Mediana del Sector SIC 7389 (Hoja 8: 'Peer Group &amp; Medianas')</t>
      </text>
    </comment>
    <comment ref="D30" authorId="0" shapeId="0">
      <text>
        <t>TOTAL MOHANRAM G-SCORE (LTM)
• Puntuación: 4 de 8 Puntos
• Clasificación: CRECIMIENTO PROMEDIO
• Escala Institucional:
  - 6-8 Pts: Calidad de Crecimiento Élite (Compounder)
  - 4-5 Pts: Crecimiento Promedio / Moderado
  - 0-3 Pts: Crecimiento Frágil o Destructivo</t>
      </text>
    </comment>
    <comment ref="E30" authorId="0" shapeId="0">
      <text>
        <t>TOTAL MOHANRAM G-SCORE (FY2025)
• Puntuación: 5 de 8 Puntos
• Clasificación: CRECIMIENTO PROMEDIO
• Escala Institucional:
  - 6-8 Pts: Calidad de Crecimiento Élite (Compounder)
  - 4-5 Pts: Crecimiento Promedio / Moderado
  - 0-3 Pts: Crecimiento Frágil o Destructivo</t>
      </text>
    </comment>
    <comment ref="F30" authorId="0" shapeId="0">
      <text>
        <t>TOTAL MOHANRAM G-SCORE (FY2024)
• Puntuación: 8 de 8 Puntos
• Clasificación: CRECIMIENTO DE ÉLITE
• Escala Institucional:
  - 6-8 Pts: Calidad de Crecimiento Élite (Compounder)
  - 4-5 Pts: Crecimiento Promedio / Moderado
  - 0-3 Pts: Crecimiento Frágil o Destructivo</t>
      </text>
    </comment>
    <comment ref="G30" authorId="0" shapeId="0">
      <text>
        <t>TOTAL MOHANRAM G-SCORE (FY2023)
• Puntuación: 5 de 8 Puntos
• Clasificación: CRECIMIENTO PROMEDIO
• Escala Institucional:
  - 6-8 Pts: Calidad de Crecimiento Élite (Compounder)
  - 4-5 Pts: Crecimiento Promedio / Moderado
  - 0-3 Pts: Crecimiento Frágil o Destructivo</t>
      </text>
    </comment>
    <comment ref="H30" authorId="0" shapeId="0">
      <text>
        <t>TOTAL MOHANRAM G-SCORE (FY2022)
• Puntuación: 5 de 8 Puntos
• Clasificación: CRECIMIENTO PROMEDIO
• Escala Institucional:
  - 6-8 Pts: Calidad de Crecimiento Élite (Compounder)
  - 4-5 Pts: Crecimiento Promedio / Moderado
  - 0-3 Pts: Crecimiento Frágil o Destructivo</t>
      </text>
    </comment>
    <comment ref="I30" authorId="0" shapeId="0">
      <text>
        <t>TOTAL MOHANRAM G-SCORE (FY2021)
• Puntuación: 4 de 8 Puntos
• Clasificación: CRECIMIENTO PROMEDIO
• Escala Institucional:
  - 6-8 Pts: Calidad de Crecimiento Élite (Compounder)
  - 4-5 Pts: Crecimiento Promedio / Moderado
  - 0-3 Pts: Crecimiento Frágil o Destructivo</t>
      </text>
    </comment>
    <comment ref="J30" authorId="0" shapeId="0">
      <text>
        <t>TOTAL MOHANRAM G-SCORE (FY2020)
• Puntuación: 5 de 8 Puntos
• Clasificación: CRECIMIENTO PROMEDIO
• Escala Institucional:
  - 6-8 Pts: Calidad de Crecimiento Élite (Compounder)
  - 4-5 Pts: Crecimiento Promedio / Moderado
  - 0-3 Pts: Crecimiento Frágil o Destructivo</t>
      </text>
    </comment>
    <comment ref="K30" authorId="0" shapeId="0">
      <text>
        <t>TOTAL MOHANRAM G-SCORE (FY2019)
• Puntuación: 5 de 8 Puntos
• Clasificación: CRECIMIENTO PROMEDIO
• Escala Institucional:
  - 6-8 Pts: Calidad de Crecimiento Élite (Compounder)
  - 4-5 Pts: Crecimiento Promedio / Moderado
  - 0-3 Pts: Crecimiento Frágil o Destructivo</t>
      </text>
    </comment>
    <comment ref="L30" authorId="0" shapeId="0">
      <text>
        <t>TOTAL MOHANRAM G-SCORE (FY2018)
• Puntuación: 3 de 8 Puntos
• Clasificación: CRECIMIENTO FRÁGIL
• Escala Institucional:
  - 6-8 Pts: Calidad de Crecimiento Élite (Compounder)
  - 4-5 Pts: Crecimiento Promedio / Moderado
  - 0-3 Pts: Crecimiento Frágil o Destructivo</t>
      </text>
    </comment>
    <comment ref="M30" authorId="0" shapeId="0">
      <text>
        <t>TOTAL MOHANRAM G-SCORE (FY2017)
• Puntuación: 3 de 8 Puntos
• Clasificación: CRECIMIENTO FRÁGIL
• Escala Institucional:
  - 6-8 Pts: Calidad de Crecimiento Élite (Compounder)
  - 4-5 Pts: Crecimiento Promedio / Moderado
  - 0-3 Pts: Crecimiento Frágil o Destructivo</t>
      </text>
    </comment>
    <comment ref="N30" authorId="0" shapeId="0">
      <text>
        <t>TOTAL MOHANRAM G-SCORE (FY2016)
• Puntuación: 4 de 8 Puntos
• Clasificación: CRECIMIENTO PROMEDIO
• Escala Institucional:
  - 6-8 Pts: Calidad de Crecimiento Élite (Compounder)
  - 4-5 Pts: Crecimiento Promedio / Moderado
  - 0-3 Pts: Crecimiento Frágil o Destructivo</t>
      </text>
    </comment>
  </commentList>
</comments>
</file>

<file path=xl/comments/comment3.xml><?xml version="1.0" encoding="utf-8"?>
<comments xmlns="http://schemas.openxmlformats.org/spreadsheetml/2006/main">
  <authors>
    <author>Glosario Institucional</author>
    <author>Auditoría SEC EDGAR</author>
    <author>Metodología Scoring &amp; Benchmark</author>
    <author>Estadística Sectorial</author>
    <author>Metodología Mohanram G-Score</author>
    <author>Auditoría Competitiva</author>
  </authors>
  <commentList>
    <comment ref="A6" authorId="0" shapeId="0">
      <text>
        <t>Ticker Bursátil
Símbolo de cotización en bolsas de EE.UU. (NASDAQ / NYSE).</t>
      </text>
    </comment>
    <comment ref="B6" authorId="0" shapeId="0">
      <text>
        <t>Empresa Competidora
Compañía comparable del sector de tecnología de hardware y almacenamiento (SIC 3571).</t>
      </text>
    </comment>
    <comment ref="C6" authorId="0" shapeId="0">
      <text>
        <t>Ingresos LTM ($M)
Fórmula: Total Revenue (Últimos 12 meses móviles).
Facturación bruta auditada generada por venta de productos y servicios.
Fuente: SEC Form 10-K y 10-Q.</t>
      </text>
    </comment>
    <comment ref="D6" authorId="0" shapeId="0">
      <text>
        <t>Activos Totales LTM ($M)
Fórmula: Total Assets al cierre del período LTM.
Base total de capital y recursos controlados por la entidad.
Fuente: Balance General Auditado.</t>
      </text>
    </comment>
    <comment ref="E6" authorId="0" shapeId="0">
      <text>
        <t>Gasto I+D LTM ($M)
Fórmula: Research and Development Expense LTM.
Inversión en desarrollo de nueva tecnología, software y patentes.
Fuente: Estado de Resultados.</t>
      </text>
    </comment>
    <comment ref="F6" authorId="0" shapeId="0">
      <text>
        <t>Intensidad I+D (I+D/Act)
Fórmula: =Gasto I+D / Activos Totales (Col E / Col D).
Evalúa la inversión en innovación relativa al tamaño de activos. Criterio clave del Mohanram G6.</t>
      </text>
    </comment>
    <comment ref="G6" authorId="0" shapeId="0">
      <text>
        <t>CapEx LTM ($M)
Fórmula: Payments for Property, Plant and Equipment (CapEx) LTM.
Inversiones en bienes de uso, centros de datos y equipamiento técnico.
Fuente: Flujo de Caja de Inversión.</t>
      </text>
    </comment>
    <comment ref="H6" authorId="0" shapeId="0">
      <text>
        <t>Inversión Total
Fórmula: =(I+D + CapEx) / Activos Totales ((Col E + Col G) / Col D).
Métrica consensuada para modelos Asset-Light. Tasa de reinversión total en crecimiento orgánico e intangible. Criterio Mohanram G7.</t>
      </text>
    </comment>
    <comment ref="I6" authorId="0" shapeId="0">
      <text>
        <t>Utilidad Neta LTM ($M)
Fórmula: Net Income auditada LTM.
Beneficio final neto después de impuestos, intereses y amortizaciones atribuible a los accionistas.</t>
      </text>
    </comment>
    <comment ref="J6" authorId="0" shapeId="0">
      <text>
        <t>ROA LTM (%)
Fórmula: =Utilidad Neta / Activos Totales (Col I / Col D).
Rentabilidad Económica Operativa sobre activos instalados. Criterio de rentabilidad en Piotroski F1 y Mohanram G1.</t>
      </text>
    </comment>
    <comment ref="K6" authorId="0" shapeId="0">
      <text>
        <t>Flujo Operativo CFO LTM ($M)
Fórmula: Cash Flow from Operating Activities (CFO) LTM.
Efectivo líquido generado por las operaciones comerciales ordinarias, libre de devengos contables.</t>
      </text>
    </comment>
    <comment ref="L6" authorId="0" shapeId="0">
      <text>
        <t>CFROA LTM (%)
Fórmula: =CFO / Activos Totales (Col K / Col D).
Rentabilidad de flujo de caja sobre activos instalados. Mide la verdadera capacidad de convertir activos en efectivo contante y sonante libre de distorsiones de causación. Criterio Mohanram G2.</t>
      </text>
    </comment>
    <comment ref="M6" authorId="0" shapeId="0">
      <text>
        <t>Gastos SG&amp;A LTM ($M)
Fórmula: Selling, General and Administrative Expenses LTM.
Gastos comerciales, de ventas y administración general. Base para evaluar el apalancamiento operativo en Mohanram G8.</t>
      </text>
    </comment>
    <comment ref="N6" authorId="0" shapeId="0">
      <text>
        <t>Utilidad Bruta LTM ($M)
Fórmula: Gross Profit LTM = Ingresos - Costo de Ventas.
Utilidad bruta generada directamente por las operaciones de venta.
Fuente: SEC Form 10-K y 10-Q.</t>
      </text>
    </comment>
    <comment ref="O6" authorId="0" shapeId="0">
      <text>
        <t>GP / Activos (%) [Novy-Marx]
Fórmula: =Utilidad Bruta / Activos Totales (Col N / Col D).
Rentabilidad Bruta sobre Activos de Robert Novy-Marx (2013). Mide la productividad pura del capital instalado.</t>
      </text>
    </comment>
    <comment ref="P6" authorId="0" shapeId="0">
      <text>
        <t>GP / Activos Ex-Caja (%)
Fórmula: =Utilidad Bruta / (Activos Totales - Caja).
Aísla el exceso de tesorería y evalúa la productividad sobre activos netamente operativos.</t>
      </text>
    </comment>
    <comment ref="Q6" authorId="0" shapeId="0">
      <text>
        <t>ROIC Ajustado (%)
Fórmula: ROIC Ajustado por capitalización de intangibles de innovación y marketing (Damodaran/Mauboussin).</t>
      </text>
    </comment>
    <comment ref="R6" authorId="0" shapeId="0">
      <text>
        <t>WACC (%)
Fórmula: Costo Promedio Ponderado del Capital a valores de mercado.</t>
      </text>
    </comment>
    <comment ref="S6" authorId="0" shapeId="0">
      <text>
        <t>Spread Económico (%)
Fórmula: =ROIC Ajustado - WACC (Col Q - Col R). Creación neta de valor económico sobre capital invertido.</t>
      </text>
    </comment>
    <comment ref="T6" authorId="0" shapeId="0">
      <text>
        <t>ROC Greenblatt (%)
Fórmula: ROC Greenblatt = EBIT / Capital Tangible Promedio (NWC Operativo + PP&amp;E Neto).
Mide la rentabilidad operativa sobre activos tangibles físicos y de operación requeridos por el negocio.</t>
      </text>
    </comment>
    <comment ref="A7" authorId="1" shapeId="0">
      <text>
        <t>EMPRESA OBJETIVO AUDITADA: MERCADOLIBRE INC (MELI)
• Período: Cifras oficiales LTM (Últimos 12 meses móviles auditados).
• Construcción: Q3 FY2026 móvil (Acumulado 9M FY26 + FY25 - 9M FY25).
• Fuente Oficial: SEC EDGAR Form 10-Q (1 de agosto 2026) y Form 10-K FY2025.</t>
      </text>
    </comment>
    <comment ref="B7" authorId="1" shapeId="0">
      <text>
        <t>EMPRESA OBJETIVO AUDITADA: MERCADOLIBRE INC (MELI)
• Período: Cifras oficiales LTM (Últimos 12 meses móviles auditados).
• Construcción: Q3 FY2026 móvil (Acumulado 9M FY26 + FY25 - 9M FY25).
• Fuente Oficial: SEC EDGAR Form 10-Q (1 de agosto 2026) y Form 10-K FY2025.</t>
      </text>
    </comment>
    <comment ref="B10" authorId="2" shapeId="0">
      <text>
        <t>Fórmula: =MEDIAN(rango)
Mediana de la muestra del sector de tecnología (SIC 3571).
Es el valor central que separa la mitad superior de la inferior (50% por encima, 50% por debajo).
Utilizado para las señales G1, G2, G6 y G7 de Mohanram y para el Industry De-meaning de Novy-Marx GP/A.</t>
      </text>
    </comment>
    <comment ref="B11" authorId="3" shapeId="0">
      <text>
        <t>Fórmula: =AVERAGE(rango)
Media aritmética simple de la muestra de empresas comparables del sector.</t>
      </text>
    </comment>
    <comment ref="B12" authorId="4" shapeId="0">
      <text>
        <t>Fórmula: =PERCENTILE(rango, 0.75)
Percentil 75 Superior de la industria SIC 3571 (delimita el 25% superior de mejor desempeño).
Cláusula Líder Mohanram: Si una empresa se sitúa en o por encima del P75 en ROA, aprueba de inmediato el Criterio G4 sin ser penalizada por volatilidad o variabilidad de retornos.</t>
      </text>
    </comment>
    <comment ref="B15" authorId="5" shapeId="0">
      <text>
        <t>Fórmula: =RANK(celda, rango)
Posición ordinal de MELI dentro del grupo de competidores analizados.
• Posición 1 = Líder absoluto de la industria en la métrica.
• Posición 3 = Menor desempeño relativo del grupo.</t>
      </text>
    </comment>
  </commentList>
</comments>
</file>

<file path=xl/comments/comment4.xml><?xml version="1.0" encoding="utf-8"?>
<comments xmlns="http://schemas.openxmlformats.org/spreadsheetml/2006/main">
  <authors>
    <author>Auditoría Forense</author>
  </authors>
  <commentList>
    <comment ref="A8" authorId="0" shapeId="0">
      <text>
        <t>El Sloan Accrual Ratio mide la proporción del beneficio contable que no proviene de efectivo operativo en relación con los activos totales promedio. Ratios &gt; +10% son señales de alarma de utilidades infladas artificialmente.</t>
      </text>
    </comment>
    <comment ref="A20" authorId="0" shapeId="0">
      <text>
        <t>Evalúa discrepancias de velocidad entre activos circulantes y la cuenta de resultados: 1) Clientes vs Ventas (Channel Stuffing), 2) Inventario vs COGS (Acumulación/Absorción indebida), 3) Activos Blandos (Capitalización de gastos).</t>
      </text>
    </comment>
    <comment ref="A51" authorId="0" shapeId="0">
      <text>
        <t>James Montier diseñó el C-Score para cuantificar la probabilidad de maquillaje en estados contables. Puntajes de 0 a 1 reflejan contabilidad limpia (&lt; 5% probabilidad de fraude); puntajes &gt;= 4 indican alto riesgo forense.</t>
      </text>
    </comment>
  </commentList>
</comments>
</file>

<file path=xl/comments/comment5.xml><?xml version="1.0" encoding="utf-8"?>
<comments xmlns="http://schemas.openxmlformats.org/spreadsheetml/2006/main">
  <authors>
    <author>Solvencia Institucional</author>
    <author>Cobertura y Carga Financiera</author>
    <author>Liquidez y Vencimientos</author>
    <author>Modelos de Insolvencia</author>
  </authors>
  <commentList>
    <comment ref="A8" authorId="0" shapeId="0">
      <text>
        <t>Evalúa cuántos años de generación bruta de efectivo (EBITDA o FCF) necesita la empresa para cancelar su deuda neta. Valores menores a 1.5x representan grado de inversión superior. Si la empresa tiene más caja que deuda, reporta Posición de Caja Neta.</t>
      </text>
    </comment>
    <comment ref="A23" authorId="1" shapeId="0">
      <text>
        <t>Mide la capacidad de la utilidad operativa (EBIT) y el flujo de caja operativo (CFO) para absorber los intereses de la deuda. Coberturas &lt; 2.5x reflejan alta vulnerabilidad ante subidas de tipos.</t>
      </text>
    </comment>
    <comment ref="A34" authorId="2" shapeId="0">
      <text>
        <t>Analiza la liquidez sin depender de la venta forzada de existencias (Quick Ratio) y la proporción de deuda que vence en menos de 12 meses (Riesgo de Refinanciación).</t>
      </text>
    </comment>
    <comment ref="A47" authorId="3" shapeId="0">
      <text>
        <t>El Altman Z''-Score (4 variables) predice la probabilidad de insolvencia a 2 años vista (Segura &gt; 2.60 | Distress &lt; 1.10). El Rating Sintético de Damodaran mapea la cobertura de intereses al rating de S&amp;P/Moody's y su probabilidad empírica de impago.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2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47"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Resumen Fundamental (10 Años + LTM)</t>
        </is>
      </c>
    </row>
    <row r="2" ht="18" customHeight="1">
      <c r="A2" s="2" t="inlineStr">
        <is>
          <t>Cifras en Millones de USD ($M), salvo acciones | Fuente: SEC EDGAR (US-GAAP Oficial)</t>
        </is>
      </c>
    </row>
    <row r="3" ht="8" customHeight="1"/>
    <row r="4" ht="25" customHeight="1">
      <c r="A4" s="3" t="inlineStr">
        <is>
          <t>Partida Financiera (en $M USD)</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c r="A5" s="6" t="inlineStr">
        <is>
          <t>Ingresos Totales (Revenue)</t>
        </is>
      </c>
      <c r="B5" s="7" t="n">
        <v>35182</v>
      </c>
      <c r="C5" s="7" t="n">
        <v>28893</v>
      </c>
      <c r="D5" s="7" t="n">
        <v>20777</v>
      </c>
      <c r="E5" s="7" t="n">
        <v>14473</v>
      </c>
      <c r="F5" s="7" t="n">
        <v>10537</v>
      </c>
      <c r="G5" s="7" t="n">
        <v>7069.409</v>
      </c>
      <c r="H5" s="7" t="n">
        <v>3973.465</v>
      </c>
      <c r="I5" s="7" t="n">
        <v>2296.314</v>
      </c>
      <c r="J5" s="7" t="n">
        <v>1439.653</v>
      </c>
      <c r="K5" s="7" t="n">
        <v>1398.095</v>
      </c>
      <c r="L5" s="7" t="n">
        <v>844.396</v>
      </c>
    </row>
    <row r="6" ht="18.5" customHeight="1">
      <c r="A6" s="6" t="inlineStr">
        <is>
          <t>(-) Costo de Ventas (COGS)</t>
        </is>
      </c>
      <c r="B6" s="7" t="n">
        <v>11902</v>
      </c>
      <c r="C6" s="7" t="n">
        <v>16035</v>
      </c>
      <c r="D6" s="7" t="n">
        <v>11200</v>
      </c>
      <c r="E6" s="7" t="n">
        <v>7267</v>
      </c>
      <c r="F6" s="7" t="n">
        <v>5374</v>
      </c>
      <c r="G6" s="7" t="n">
        <v>4064.357</v>
      </c>
      <c r="H6" s="7" t="n">
        <v>2264.255</v>
      </c>
      <c r="I6" s="7" t="n">
        <v>1194.191</v>
      </c>
      <c r="J6" s="7" t="n">
        <v>424.838</v>
      </c>
      <c r="K6" s="7" t="n">
        <v>678.495</v>
      </c>
      <c r="L6" s="7" t="n">
        <v>307.538</v>
      </c>
    </row>
    <row r="7" ht="18.5" customHeight="1">
      <c r="A7" s="8" t="inlineStr">
        <is>
          <t>(=) Margen Bruto (Gross Profit)</t>
        </is>
      </c>
      <c r="B7" s="9" t="n">
        <v>15014</v>
      </c>
      <c r="C7" s="9" t="n">
        <v>12858</v>
      </c>
      <c r="D7" s="9" t="n">
        <v>9577</v>
      </c>
      <c r="E7" s="9" t="n">
        <v>7206</v>
      </c>
      <c r="F7" s="9" t="n">
        <v>5163</v>
      </c>
      <c r="G7" s="9" t="n">
        <v>3005.052</v>
      </c>
      <c r="H7" s="9" t="n">
        <v>1709.21</v>
      </c>
      <c r="I7" s="9" t="n">
        <v>1102.123</v>
      </c>
      <c r="J7" s="9" t="n">
        <v>697.008</v>
      </c>
      <c r="K7" s="9" t="n">
        <v>719.6</v>
      </c>
      <c r="L7" s="9" t="n">
        <v>536.8579999999999</v>
      </c>
    </row>
    <row r="8" ht="18.5" customHeight="1">
      <c r="A8" s="6" t="inlineStr">
        <is>
          <t>(-) Total Gastos Operativos (OpEx)</t>
        </is>
      </c>
      <c r="B8" s="7" t="n">
        <v>7207</v>
      </c>
      <c r="C8" s="7" t="n">
        <v>9657</v>
      </c>
      <c r="D8" s="7" t="n">
        <v>6946</v>
      </c>
      <c r="E8" s="7" t="n">
        <v>5383</v>
      </c>
      <c r="F8" s="7" t="n">
        <v>4129</v>
      </c>
      <c r="G8" s="7" t="n">
        <v>2564.349</v>
      </c>
      <c r="H8" s="7" t="n">
        <v>1581.518</v>
      </c>
      <c r="I8" s="7" t="n">
        <v>1255.284</v>
      </c>
      <c r="J8" s="7" t="n">
        <v>766.49</v>
      </c>
      <c r="K8" s="7" t="n">
        <v>663.327</v>
      </c>
      <c r="L8" s="7" t="n">
        <v>355.802</v>
      </c>
    </row>
    <row r="9" ht="18.5" customHeight="1">
      <c r="A9" s="8" t="inlineStr">
        <is>
          <t>(=) Beneficio Operativo (EBIT)</t>
        </is>
      </c>
      <c r="B9" s="9" t="n">
        <v>2907</v>
      </c>
      <c r="C9" s="9" t="n">
        <v>3201</v>
      </c>
      <c r="D9" s="9" t="n">
        <v>2631</v>
      </c>
      <c r="E9" s="9" t="n">
        <v>1823</v>
      </c>
      <c r="F9" s="9" t="n">
        <v>1034</v>
      </c>
      <c r="G9" s="9" t="n">
        <v>440.703</v>
      </c>
      <c r="H9" s="9" t="n">
        <v>127.692</v>
      </c>
      <c r="I9" s="9" t="n">
        <v>-153.161</v>
      </c>
      <c r="J9" s="9" t="n">
        <v>-69.482</v>
      </c>
      <c r="K9" s="9" t="n">
        <v>56.273</v>
      </c>
      <c r="L9" s="9" t="n">
        <v>181.056</v>
      </c>
    </row>
    <row r="10" ht="18.5" customHeight="1">
      <c r="A10" s="8" t="inlineStr">
        <is>
          <t>(=) Beneficio Neto (Net Income)</t>
        </is>
      </c>
      <c r="B10" s="9" t="n">
        <v>1863</v>
      </c>
      <c r="C10" s="9" t="n">
        <v>1997</v>
      </c>
      <c r="D10" s="9" t="n">
        <v>1911</v>
      </c>
      <c r="E10" s="9" t="n">
        <v>987</v>
      </c>
      <c r="F10" s="9" t="n">
        <v>482</v>
      </c>
      <c r="G10" s="9" t="n">
        <v>83.304</v>
      </c>
      <c r="H10" s="9" t="n">
        <v>-0.707</v>
      </c>
      <c r="I10" s="9" t="n">
        <v>-171.999</v>
      </c>
      <c r="J10" s="9" t="n">
        <v>-2.337</v>
      </c>
      <c r="K10" s="9" t="n">
        <v>-67.72</v>
      </c>
      <c r="L10" s="9" t="n">
        <v>136.366</v>
      </c>
    </row>
    <row r="11" ht="10" customHeight="1"/>
    <row r="12" ht="18.5" customHeight="1">
      <c r="A12" s="6" t="inlineStr">
        <is>
          <t>Flujo de Caja Operativo (CFO)</t>
        </is>
      </c>
      <c r="B12" s="7" t="n">
        <v>13905</v>
      </c>
      <c r="C12" s="7" t="n">
        <v>12116</v>
      </c>
      <c r="D12" s="7" t="n">
        <v>7918</v>
      </c>
      <c r="E12" s="7" t="n">
        <v>5140</v>
      </c>
      <c r="F12" s="7" t="n">
        <v>2940</v>
      </c>
      <c r="G12" s="7" t="n">
        <v>965.043</v>
      </c>
      <c r="H12" s="7" t="n">
        <v>1182.552</v>
      </c>
      <c r="I12" s="7" t="n">
        <v>451.091</v>
      </c>
      <c r="J12" s="7" t="n">
        <v>230.907</v>
      </c>
      <c r="K12" s="7" t="n">
        <v>269.01</v>
      </c>
      <c r="L12" s="7" t="n">
        <v>190.259</v>
      </c>
    </row>
    <row r="13" ht="18.5" customHeight="1">
      <c r="A13" s="6" t="inlineStr">
        <is>
          <t>(-) Inversión de Capital (CapEx)</t>
        </is>
      </c>
      <c r="B13" s="7" t="n">
        <v>1496</v>
      </c>
      <c r="C13" s="7" t="n">
        <v>1343</v>
      </c>
      <c r="D13" s="7" t="n">
        <v>860</v>
      </c>
      <c r="E13" s="7" t="n">
        <v>509</v>
      </c>
      <c r="F13" s="7" t="n">
        <v>454</v>
      </c>
      <c r="G13" s="7" t="n">
        <v>572.929</v>
      </c>
      <c r="H13" s="7" t="n">
        <v>247.048</v>
      </c>
      <c r="I13" s="7" t="n">
        <v>136.798</v>
      </c>
      <c r="J13" s="7" t="n">
        <v>93.136</v>
      </c>
      <c r="K13" s="7" t="n">
        <v>55.156</v>
      </c>
      <c r="L13" s="7" t="n">
        <v>68.527</v>
      </c>
    </row>
    <row r="14" ht="18.5" customHeight="1">
      <c r="A14" s="10" t="inlineStr">
        <is>
          <t>(=) Flujo de Caja Libre (Free Cash Flow)</t>
        </is>
      </c>
      <c r="B14" s="11" t="n">
        <v>12409</v>
      </c>
      <c r="C14" s="11" t="n">
        <v>10773</v>
      </c>
      <c r="D14" s="11" t="n">
        <v>7058</v>
      </c>
      <c r="E14" s="11" t="n">
        <v>4631</v>
      </c>
      <c r="F14" s="11" t="n">
        <v>2486</v>
      </c>
      <c r="G14" s="11" t="n">
        <v>392.114</v>
      </c>
      <c r="H14" s="11" t="n">
        <v>935.504</v>
      </c>
      <c r="I14" s="11" t="n">
        <v>314.293</v>
      </c>
      <c r="J14" s="11" t="n">
        <v>137.771</v>
      </c>
      <c r="K14" s="11" t="n">
        <v>213.854</v>
      </c>
      <c r="L14" s="11" t="n">
        <v>121.732</v>
      </c>
    </row>
    <row r="15" ht="10" customHeight="1"/>
    <row r="16" ht="18.5" customHeight="1">
      <c r="A16" s="6" t="inlineStr">
        <is>
          <t>Efectivo e Inversiones Líquidas</t>
        </is>
      </c>
      <c r="B16" s="7" t="n">
        <v>3649</v>
      </c>
      <c r="C16" s="7" t="n">
        <v>3670</v>
      </c>
      <c r="D16" s="7" t="n">
        <v>2635</v>
      </c>
      <c r="E16" s="7" t="n">
        <v>2556</v>
      </c>
      <c r="F16" s="7" t="n">
        <v>1910</v>
      </c>
      <c r="G16" s="7" t="n">
        <v>2584.586</v>
      </c>
      <c r="H16" s="7" t="n">
        <v>1856.394</v>
      </c>
      <c r="I16" s="7" t="n">
        <v>1384.74</v>
      </c>
      <c r="J16" s="7" t="n">
        <v>440.332</v>
      </c>
      <c r="K16" s="7" t="n">
        <v>388.26</v>
      </c>
      <c r="L16" s="7" t="n">
        <v>234.14</v>
      </c>
    </row>
    <row r="17" ht="18.5" customHeight="1">
      <c r="A17" s="6" t="inlineStr">
        <is>
          <t>Deuda Financiera Total</t>
        </is>
      </c>
      <c r="B17" s="7" t="n">
        <v>10626</v>
      </c>
      <c r="C17" s="7" t="n">
        <v>9193</v>
      </c>
      <c r="D17" s="7" t="n">
        <v>5715</v>
      </c>
      <c r="E17" s="7" t="n">
        <v>4495</v>
      </c>
      <c r="F17" s="7" t="n">
        <v>4758</v>
      </c>
      <c r="G17" s="7" t="n">
        <v>3518</v>
      </c>
      <c r="H17" s="7" t="n">
        <v>0</v>
      </c>
      <c r="I17" s="7" t="n">
        <v>0</v>
      </c>
      <c r="J17" s="7" t="n">
        <v>0</v>
      </c>
      <c r="K17" s="7" t="n">
        <v>0</v>
      </c>
      <c r="L17" s="7" t="n">
        <v>0</v>
      </c>
    </row>
    <row r="18" ht="18.5" customHeight="1">
      <c r="A18" s="12" t="inlineStr">
        <is>
          <t>Deuda Neta (Deuda Total - Caja)</t>
        </is>
      </c>
      <c r="B18" s="13" t="n">
        <v>6977</v>
      </c>
      <c r="C18" s="13" t="n">
        <v>5523</v>
      </c>
      <c r="D18" s="13" t="n">
        <v>3080</v>
      </c>
      <c r="E18" s="13" t="n">
        <v>1939</v>
      </c>
      <c r="F18" s="13" t="n">
        <v>2848</v>
      </c>
      <c r="G18" s="13" t="n">
        <v>933.414</v>
      </c>
      <c r="H18" s="13" t="n">
        <v>-1856.394</v>
      </c>
      <c r="I18" s="13" t="n">
        <v>-1384.74</v>
      </c>
      <c r="J18" s="13" t="n">
        <v>-440.332</v>
      </c>
      <c r="K18" s="13" t="n">
        <v>-388.26</v>
      </c>
      <c r="L18" s="13" t="n">
        <v>-234.14</v>
      </c>
    </row>
    <row r="19" ht="18.5" customHeight="1">
      <c r="A19" s="8" t="inlineStr">
        <is>
          <t>Total Activos (Assets)</t>
        </is>
      </c>
      <c r="B19" s="9" t="n">
        <v>51356</v>
      </c>
      <c r="C19" s="9" t="n">
        <v>42667</v>
      </c>
      <c r="D19" s="9" t="n">
        <v>25196</v>
      </c>
      <c r="E19" s="9" t="n">
        <v>17646</v>
      </c>
      <c r="F19" s="9" t="n">
        <v>13736</v>
      </c>
      <c r="G19" s="9" t="n">
        <v>10101.158</v>
      </c>
      <c r="H19" s="9" t="n">
        <v>6526.332</v>
      </c>
      <c r="I19" s="9" t="n">
        <v>4781.691</v>
      </c>
      <c r="J19" s="9" t="n">
        <v>2239.519</v>
      </c>
      <c r="K19" s="9" t="n">
        <v>1673.187</v>
      </c>
      <c r="L19" s="9" t="n">
        <v>1367.435</v>
      </c>
    </row>
    <row r="20" ht="18.5" customHeight="1">
      <c r="A20" s="8" t="inlineStr">
        <is>
          <t>Patrimonio Neto (Stockholders Equity)</t>
        </is>
      </c>
      <c r="B20" s="9" t="n">
        <v>7834</v>
      </c>
      <c r="C20" s="9" t="n">
        <v>6748</v>
      </c>
      <c r="D20" s="9" t="n">
        <v>4351</v>
      </c>
      <c r="E20" s="9" t="n">
        <v>3071</v>
      </c>
      <c r="F20" s="9" t="n">
        <v>1827</v>
      </c>
      <c r="G20" s="9" t="n">
        <v>1531.691</v>
      </c>
      <c r="H20" s="9" t="n">
        <v>1651.578</v>
      </c>
      <c r="I20" s="9" t="n">
        <v>1983.12</v>
      </c>
      <c r="J20" s="9" t="n">
        <v>336.7</v>
      </c>
      <c r="K20" s="9" t="n">
        <v>325.779</v>
      </c>
      <c r="L20" s="9" t="n">
        <v>428.854</v>
      </c>
    </row>
    <row r="21" ht="10" customHeight="1"/>
    <row r="22" ht="18.5" customHeight="1">
      <c r="A22" s="8" t="inlineStr">
        <is>
          <t>BPA Diluido Normalizado (Split-Adjusted) [$]</t>
        </is>
      </c>
      <c r="B22" s="14" t="n">
        <v>36.76</v>
      </c>
      <c r="C22" s="14" t="n">
        <v>39.4</v>
      </c>
      <c r="D22" s="14" t="n">
        <v>37.69</v>
      </c>
      <c r="E22" s="14" t="n">
        <v>19.46</v>
      </c>
      <c r="F22" s="14" t="n">
        <v>9.529999999999999</v>
      </c>
      <c r="G22" s="14" t="n">
        <v>1.67</v>
      </c>
      <c r="H22" s="14" t="n">
        <v>-0.08</v>
      </c>
      <c r="I22" s="14" t="n">
        <v>-3.71</v>
      </c>
      <c r="J22" s="14" t="n">
        <v>-0.82</v>
      </c>
      <c r="K22" s="14" t="n">
        <v>0.31</v>
      </c>
      <c r="L22" s="14" t="n">
        <v>3.09</v>
      </c>
    </row>
    <row r="23" ht="18.5" customHeight="1">
      <c r="A23" s="6" t="inlineStr">
        <is>
          <t>BPA Diluido Oficial As-Reported [$]</t>
        </is>
      </c>
      <c r="B23" s="15" t="n">
        <v>36.76000000000001</v>
      </c>
      <c r="C23" s="15" t="n">
        <v>39.4</v>
      </c>
      <c r="D23" s="15" t="n">
        <v>37.69</v>
      </c>
      <c r="E23" s="15" t="n">
        <v>19.46</v>
      </c>
      <c r="F23" s="15" t="n">
        <v>9.529999999999999</v>
      </c>
      <c r="G23" s="15" t="n">
        <v>1.67</v>
      </c>
      <c r="H23" s="15" t="n">
        <v>-0.08</v>
      </c>
      <c r="I23" s="15" t="n">
        <v>-3.71</v>
      </c>
      <c r="J23" s="15" t="n">
        <v>-0.82</v>
      </c>
      <c r="K23" s="15" t="n">
        <v>0.31</v>
      </c>
      <c r="L23" s="15" t="n">
        <v>3.09</v>
      </c>
    </row>
    <row r="24" ht="18.5" customHeight="1">
      <c r="A24" s="12" t="inlineStr">
        <is>
          <t>Acciones Diluidas Ajustadas (Millones)</t>
        </is>
      </c>
      <c r="B24" s="16" t="n">
        <v>50.697299</v>
      </c>
      <c r="C24" s="16" t="n">
        <v>50.69732</v>
      </c>
      <c r="D24" s="16" t="n">
        <v>50.697428</v>
      </c>
      <c r="E24" s="16" t="n">
        <v>51.00686</v>
      </c>
      <c r="F24" s="16" t="n">
        <v>51.335621</v>
      </c>
      <c r="G24" s="16" t="n">
        <v>49.802993</v>
      </c>
      <c r="H24" s="16" t="n">
        <v>49.740407</v>
      </c>
      <c r="I24" s="16" t="n">
        <v>48.692906</v>
      </c>
      <c r="J24" s="16" t="n">
        <v>44.529614</v>
      </c>
      <c r="K24" s="16" t="n">
        <v>44.157364</v>
      </c>
      <c r="L24" s="16" t="n">
        <v>44.157251</v>
      </c>
    </row>
    <row r="25" ht="18.5" customHeight="1">
      <c r="A25" s="6" t="inlineStr">
        <is>
          <t>Acciones Diluidas As-Reported (Millones)</t>
        </is>
      </c>
      <c r="B25" s="17" t="n">
        <v>50.697299</v>
      </c>
      <c r="C25" s="17" t="n">
        <v>50.69732</v>
      </c>
      <c r="D25" s="17" t="n">
        <v>50.697428</v>
      </c>
      <c r="E25" s="17" t="n">
        <v>51.00686</v>
      </c>
      <c r="F25" s="17" t="n">
        <v>51.335621</v>
      </c>
      <c r="G25" s="17" t="n">
        <v>49.802993</v>
      </c>
      <c r="H25" s="17" t="n">
        <v>49.740407</v>
      </c>
      <c r="I25" s="17" t="n">
        <v>48.692906</v>
      </c>
      <c r="J25" s="17" t="n">
        <v>44.529614</v>
      </c>
      <c r="K25" s="17" t="n">
        <v>44.157364</v>
      </c>
      <c r="L25" s="17" t="n">
        <v>44.157251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Ratios Financieros y Retornos</t>
        </is>
      </c>
    </row>
    <row r="2" ht="18" customHeight="1">
      <c r="A2" s="2" t="inlineStr">
        <is>
          <t>Márgenes y Retornos expresados en porcentaje (%), Múltiplos en (x) | Fuente: SEC EDGAR</t>
        </is>
      </c>
    </row>
    <row r="3" ht="8" customHeight="1"/>
    <row r="4" ht="25" customHeight="1">
      <c r="A4" s="3" t="inlineStr">
        <is>
          <t>Ratio Financiero / Métrica</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MÁRGENES DE RENTABILIDAD</t>
        </is>
      </c>
      <c r="B5" s="19" t="n"/>
      <c r="C5" s="19" t="n"/>
      <c r="D5" s="19" t="n"/>
      <c r="E5" s="19" t="n"/>
      <c r="F5" s="19" t="n"/>
      <c r="G5" s="19" t="n"/>
      <c r="H5" s="19" t="n"/>
      <c r="I5" s="19" t="n"/>
      <c r="J5" s="19" t="n"/>
      <c r="K5" s="19" t="n"/>
      <c r="L5" s="19" t="n"/>
    </row>
    <row r="6" ht="18.5" customHeight="1">
      <c r="A6" s="6" t="inlineStr">
        <is>
          <t xml:space="preserve">   Margen Bruto (Gross Margin)</t>
        </is>
      </c>
      <c r="B6" s="20" t="n">
        <v>0.4268</v>
      </c>
      <c r="C6" s="20" t="n">
        <v>0.445</v>
      </c>
      <c r="D6" s="20" t="n">
        <v>0.4609</v>
      </c>
      <c r="E6" s="20" t="n">
        <v>0.4979</v>
      </c>
      <c r="F6" s="20" t="n">
        <v>0.49</v>
      </c>
      <c r="G6" s="20" t="n">
        <v>0.4251</v>
      </c>
      <c r="H6" s="20" t="n">
        <v>0.4302</v>
      </c>
      <c r="I6" s="20" t="n">
        <v>0.48</v>
      </c>
      <c r="J6" s="20" t="n">
        <v>0.4842</v>
      </c>
      <c r="K6" s="20" t="n">
        <v>0.5146999999999999</v>
      </c>
      <c r="L6" s="20" t="n">
        <v>0.6358</v>
      </c>
    </row>
    <row r="7" ht="18.5" customHeight="1">
      <c r="A7" s="6" t="inlineStr">
        <is>
          <t xml:space="preserve">   Margen Operativo (Operating Margin)</t>
        </is>
      </c>
      <c r="B7" s="20" t="n">
        <v>0.08259999999999999</v>
      </c>
      <c r="C7" s="20" t="n">
        <v>0.1108</v>
      </c>
      <c r="D7" s="20" t="n">
        <v>0.1266</v>
      </c>
      <c r="E7" s="20" t="n">
        <v>0.126</v>
      </c>
      <c r="F7" s="20" t="n">
        <v>0.09810000000000001</v>
      </c>
      <c r="G7" s="20" t="n">
        <v>0.0623</v>
      </c>
      <c r="H7" s="20" t="n">
        <v>0.0321</v>
      </c>
      <c r="I7" s="20" t="n">
        <v>-0.0667</v>
      </c>
      <c r="J7" s="20" t="n">
        <v>-0.0483</v>
      </c>
      <c r="K7" s="20" t="n">
        <v>0.04019999999999999</v>
      </c>
      <c r="L7" s="20" t="n">
        <v>0.2144</v>
      </c>
    </row>
    <row r="8" ht="18.5" customHeight="1">
      <c r="A8" s="6" t="inlineStr">
        <is>
          <t xml:space="preserve">   Margen Neto (Net Margin)</t>
        </is>
      </c>
      <c r="B8" s="20" t="n">
        <v>0.053</v>
      </c>
      <c r="C8" s="20" t="n">
        <v>0.06909999999999999</v>
      </c>
      <c r="D8" s="20" t="n">
        <v>0.092</v>
      </c>
      <c r="E8" s="20" t="n">
        <v>0.0682</v>
      </c>
      <c r="F8" s="20" t="n">
        <v>0.0457</v>
      </c>
      <c r="G8" s="20" t="n">
        <v>0.0118</v>
      </c>
      <c r="H8" s="20" t="n">
        <v>-0.0002</v>
      </c>
      <c r="I8" s="20" t="n">
        <v>-0.07490000000000001</v>
      </c>
      <c r="J8" s="20" t="n">
        <v>-0.0016</v>
      </c>
      <c r="K8" s="20" t="n">
        <v>-0.0484</v>
      </c>
      <c r="L8" s="20" t="n">
        <v>0.1615</v>
      </c>
    </row>
    <row r="9" ht="18.5" customHeight="1">
      <c r="A9" s="6" t="inlineStr">
        <is>
          <t xml:space="preserve">   Margen de Flujo de Caja Libre (FCF Margin)</t>
        </is>
      </c>
      <c r="B9" s="20" t="n">
        <v>0.3527</v>
      </c>
      <c r="C9" s="20" t="n">
        <v>0.3729</v>
      </c>
      <c r="D9" s="20" t="n">
        <v>0.3397</v>
      </c>
      <c r="E9" s="20" t="n">
        <v>0.32</v>
      </c>
      <c r="F9" s="20" t="n">
        <v>0.2359</v>
      </c>
      <c r="G9" s="20" t="n">
        <v>0.0555</v>
      </c>
      <c r="H9" s="20" t="n">
        <v>0.2354</v>
      </c>
      <c r="I9" s="20" t="n">
        <v>0.1369</v>
      </c>
      <c r="J9" s="20" t="n">
        <v>0.09570000000000001</v>
      </c>
      <c r="K9" s="20" t="n">
        <v>0.153</v>
      </c>
      <c r="L9" s="20" t="n">
        <v>0.1442</v>
      </c>
    </row>
    <row r="10" ht="18.5" customHeight="1">
      <c r="A10" s="6" t="inlineStr">
        <is>
          <t xml:space="preserve">   Conversión de Beneficio a FCF (FCF / Net Income)</t>
        </is>
      </c>
      <c r="B10" s="20" t="n">
        <v>6.6608</v>
      </c>
      <c r="C10" s="20" t="n">
        <v>5.394600000000001</v>
      </c>
      <c r="D10" s="20" t="n">
        <v>3.6934</v>
      </c>
      <c r="E10" s="20" t="n">
        <v>4.692</v>
      </c>
      <c r="F10" s="20" t="n">
        <v>5.1577</v>
      </c>
      <c r="G10" s="20" t="n">
        <v>4.707</v>
      </c>
      <c r="H10" s="20" t="n">
        <v>-1323.2023</v>
      </c>
      <c r="I10" s="20" t="n">
        <v>-1.8273</v>
      </c>
      <c r="J10" s="20" t="n">
        <v>-58.9521</v>
      </c>
      <c r="K10" s="20" t="n">
        <v>-3.1579</v>
      </c>
      <c r="L10" s="20" t="n">
        <v>0.8926999999999999</v>
      </c>
    </row>
    <row r="11" ht="10" customHeight="1"/>
    <row r="12" ht="22" customHeight="1">
      <c r="A12" s="18" t="inlineStr">
        <is>
          <t>RETORNOS SOBRE EL CAPITAL</t>
        </is>
      </c>
      <c r="B12" s="19" t="n"/>
      <c r="C12" s="19" t="n"/>
      <c r="D12" s="19" t="n"/>
      <c r="E12" s="19" t="n"/>
      <c r="F12" s="19" t="n"/>
      <c r="G12" s="19" t="n"/>
      <c r="H12" s="19" t="n"/>
      <c r="I12" s="19" t="n"/>
      <c r="J12" s="19" t="n"/>
      <c r="K12" s="19" t="n"/>
      <c r="L12" s="19" t="n"/>
    </row>
    <row r="13" ht="18.5" customHeight="1">
      <c r="A13" s="6" t="inlineStr">
        <is>
          <t xml:space="preserve">   Retorno sobre Patrimonio (ROE = Net Income / Equity Promedio)</t>
        </is>
      </c>
      <c r="B13" s="20" t="n">
        <v>0.2555</v>
      </c>
      <c r="C13" s="20" t="n">
        <v>0.3599</v>
      </c>
      <c r="D13" s="20" t="n">
        <v>0.515</v>
      </c>
      <c r="E13" s="20" t="n">
        <v>0.403</v>
      </c>
      <c r="F13" s="20" t="n">
        <v>0.287</v>
      </c>
      <c r="G13" s="20" t="n">
        <v>0.05230000000000001</v>
      </c>
      <c r="H13" s="20" t="n">
        <v>-0.0004</v>
      </c>
      <c r="I13" s="20" t="n">
        <v>-0.1483</v>
      </c>
      <c r="J13" s="20" t="n">
        <v>-0.0071</v>
      </c>
      <c r="K13" s="20" t="n">
        <v>-0.1795</v>
      </c>
      <c r="L13" s="20" t="n">
        <v>0.318</v>
      </c>
    </row>
    <row r="14" ht="18.5" customHeight="1">
      <c r="A14" s="6" t="inlineStr">
        <is>
          <t xml:space="preserve">   Retorno sobre Activos (ROA = Net Income / Assets Promedio)</t>
        </is>
      </c>
      <c r="B14" s="20" t="n">
        <v>0.0396</v>
      </c>
      <c r="C14" s="20" t="n">
        <v>0.05889999999999999</v>
      </c>
      <c r="D14" s="20" t="n">
        <v>0.0892</v>
      </c>
      <c r="E14" s="20" t="n">
        <v>0.0629</v>
      </c>
      <c r="F14" s="20" t="n">
        <v>0.0404</v>
      </c>
      <c r="G14" s="20" t="n">
        <v>0.01</v>
      </c>
      <c r="H14" s="20" t="n">
        <v>-0.0001</v>
      </c>
      <c r="I14" s="20" t="n">
        <v>-0.049</v>
      </c>
      <c r="J14" s="20" t="n">
        <v>-0.0012</v>
      </c>
      <c r="K14" s="20" t="n">
        <v>-0.0445</v>
      </c>
      <c r="L14" s="20" t="n">
        <v>0.09970000000000001</v>
      </c>
    </row>
    <row r="15" ht="18.5" customHeight="1">
      <c r="A15" s="6" t="inlineStr">
        <is>
          <t xml:space="preserve">   Retorno sobre Capital Tangible (ROC Greenblatt = EBIT / Capital Tangible Promedio)</t>
        </is>
      </c>
      <c r="B15" s="20" t="n">
        <v>0.8759981919541961</v>
      </c>
      <c r="C15" s="20" t="n">
        <v>1.09305105002561</v>
      </c>
      <c r="D15" s="20" t="n">
        <v>1.32377358490566</v>
      </c>
      <c r="E15" s="20" t="n">
        <v>1.151974723538705</v>
      </c>
      <c r="F15" s="20" t="n">
        <v>0.9064740570017888</v>
      </c>
      <c r="G15" s="20" t="n">
        <v>0.7350863307732531</v>
      </c>
      <c r="H15" s="20" t="n">
        <v>0.1983199985711367</v>
      </c>
      <c r="I15" s="20" t="n">
        <v>-0.2885292657678914</v>
      </c>
      <c r="J15" s="20" t="n">
        <v>-0.4955018880303511</v>
      </c>
      <c r="K15" s="20" t="n">
        <v>0.3779019401110745</v>
      </c>
      <c r="L15" s="20" t="n">
        <v>0.9894797820538744</v>
      </c>
    </row>
    <row r="16" ht="10" customHeight="1"/>
    <row r="17" ht="22" customHeight="1">
      <c r="A17" s="18" t="inlineStr">
        <is>
          <t>LIQUIDEZ Y APALANCAMIENTO</t>
        </is>
      </c>
      <c r="B17" s="19" t="n"/>
      <c r="C17" s="19" t="n"/>
      <c r="D17" s="19" t="n"/>
      <c r="E17" s="19" t="n"/>
      <c r="F17" s="19" t="n"/>
      <c r="G17" s="19" t="n"/>
      <c r="H17" s="19" t="n"/>
      <c r="I17" s="19" t="n"/>
      <c r="J17" s="19" t="n"/>
      <c r="K17" s="19" t="n"/>
      <c r="L17" s="19" t="n"/>
    </row>
    <row r="18" ht="18.5" customHeight="1">
      <c r="A18" s="6" t="inlineStr">
        <is>
          <t xml:space="preserve">   Ratio de Liquidez Corriente (Current Ratio)</t>
        </is>
      </c>
      <c r="B18" s="21" t="n">
        <v>1.12</v>
      </c>
      <c r="C18" s="21" t="n">
        <v>1.17</v>
      </c>
      <c r="D18" s="21" t="n">
        <v>1.21</v>
      </c>
      <c r="E18" s="21" t="n">
        <v>1.27</v>
      </c>
      <c r="F18" s="21" t="n">
        <v>1.28</v>
      </c>
      <c r="G18" s="21" t="n">
        <v>1.4</v>
      </c>
      <c r="H18" s="21" t="n">
        <v>1.47</v>
      </c>
      <c r="I18" s="21" t="n">
        <v>2.16</v>
      </c>
      <c r="J18" s="21" t="n">
        <v>1.3</v>
      </c>
      <c r="K18" s="21" t="n">
        <v>1.33</v>
      </c>
      <c r="L18" s="21" t="n">
        <v>1.51</v>
      </c>
    </row>
    <row r="19" ht="18.5" customHeight="1">
      <c r="A19" s="6" t="inlineStr">
        <is>
          <t xml:space="preserve">   Deuda sobre Patrimonio (Debt to Equity)</t>
        </is>
      </c>
      <c r="B19" s="21" t="n">
        <v>1.36</v>
      </c>
      <c r="C19" s="21" t="n">
        <v>1.36</v>
      </c>
      <c r="D19" s="21" t="n">
        <v>1.31</v>
      </c>
      <c r="E19" s="21" t="n">
        <v>1.46</v>
      </c>
      <c r="F19" s="21" t="n">
        <v>2.6</v>
      </c>
      <c r="G19" s="21" t="n">
        <v>2.3</v>
      </c>
      <c r="H19" s="21" t="n">
        <v>0</v>
      </c>
      <c r="I19" s="21" t="n">
        <v>0</v>
      </c>
      <c r="J19" s="21" t="n">
        <v>0</v>
      </c>
      <c r="K19" s="21" t="n">
        <v>0</v>
      </c>
      <c r="L19" s="21" t="n">
        <v>0</v>
      </c>
    </row>
    <row r="20" ht="10" customHeight="1"/>
    <row r="21" ht="22" customHeight="1">
      <c r="A21" s="18" t="inlineStr">
        <is>
          <t>PRODUCTIVIDAD PURA DEL CAPITAL (NOVY-MARX DUPONT)</t>
        </is>
      </c>
      <c r="B21" s="19" t="n"/>
      <c r="C21" s="19" t="n"/>
      <c r="D21" s="19" t="n"/>
      <c r="E21" s="19" t="n"/>
      <c r="F21" s="19" t="n"/>
      <c r="G21" s="19" t="n"/>
      <c r="H21" s="19" t="n"/>
      <c r="I21" s="19" t="n"/>
      <c r="J21" s="19" t="n"/>
      <c r="K21" s="19" t="n"/>
      <c r="L21" s="19" t="n"/>
    </row>
    <row r="22" ht="18.5" customHeight="1">
      <c r="A22" s="6" t="inlineStr">
        <is>
          <t xml:space="preserve">   Gross Profitability (Activos Totales)</t>
        </is>
      </c>
      <c r="B22" s="20" t="n">
        <v>0.2923514292390373</v>
      </c>
      <c r="C22" s="20" t="n">
        <v>0.3013570206482762</v>
      </c>
      <c r="D22" s="20" t="n">
        <v>0.3801000158755358</v>
      </c>
      <c r="E22" s="20" t="n">
        <v>0.4083645018701121</v>
      </c>
      <c r="F22" s="20" t="n">
        <v>0.3758736167734421</v>
      </c>
      <c r="G22" s="20" t="n">
        <v>0.2974957920666126</v>
      </c>
      <c r="H22" s="20" t="n">
        <v>0.2618944301331897</v>
      </c>
      <c r="I22" s="20" t="n">
        <v>0.2304881264807785</v>
      </c>
      <c r="J22" s="20" t="n">
        <v>0.3112311170389713</v>
      </c>
      <c r="K22" s="20" t="n">
        <v>0.4300774509962126</v>
      </c>
      <c r="L22" s="20" t="n">
        <v>0.3926022077831853</v>
      </c>
    </row>
    <row r="23" ht="18.5" customHeight="1">
      <c r="A23" s="6" t="inlineStr">
        <is>
          <t xml:space="preserve">   Gross Profitability Operativa (Ex-Caja)</t>
        </is>
      </c>
      <c r="B23" s="20" t="n">
        <v>0.3147127255958245</v>
      </c>
      <c r="C23" s="20" t="n">
        <v>0.3297176705900454</v>
      </c>
      <c r="D23" s="20" t="n">
        <v>0.4244935951420593</v>
      </c>
      <c r="E23" s="20" t="n">
        <v>0.4775347912524851</v>
      </c>
      <c r="F23" s="20" t="n">
        <v>0.4365804160324708</v>
      </c>
      <c r="G23" s="20" t="n">
        <v>0.3997902235221056</v>
      </c>
      <c r="H23" s="20" t="n">
        <v>0.3660027178091015</v>
      </c>
      <c r="I23" s="20" t="n">
        <v>0.3244447741518792</v>
      </c>
      <c r="J23" s="20" t="n">
        <v>0.3874016430754558</v>
      </c>
      <c r="K23" s="20" t="n">
        <v>0.5600318150369632</v>
      </c>
      <c r="L23" s="20" t="n">
        <v>0.4737142579822553</v>
      </c>
    </row>
    <row r="24" ht="18.5" customHeight="1">
      <c r="A24" s="6" t="inlineStr">
        <is>
          <t xml:space="preserve">   Efecto Arrastre de Caja (Cash Drag)</t>
        </is>
      </c>
      <c r="B24" s="20" t="n">
        <v>0.02236129635678724</v>
      </c>
      <c r="C24" s="20" t="n">
        <v>0.02836064994176918</v>
      </c>
      <c r="D24" s="20" t="n">
        <v>0.04439357926652349</v>
      </c>
      <c r="E24" s="20" t="n">
        <v>0.06917028938237291</v>
      </c>
      <c r="F24" s="20" t="n">
        <v>0.06070679925902878</v>
      </c>
      <c r="G24" s="20" t="n">
        <v>0.102294431455493</v>
      </c>
      <c r="H24" s="20" t="n">
        <v>0.1041082876759118</v>
      </c>
      <c r="I24" s="20" t="n">
        <v>0.09395664767110072</v>
      </c>
      <c r="J24" s="20" t="n">
        <v>0.07617052603648444</v>
      </c>
      <c r="K24" s="20" t="n">
        <v>0.1299543640407506</v>
      </c>
      <c r="L24" s="20" t="n">
        <v>0.08111205019906997</v>
      </c>
    </row>
    <row r="25" ht="18.5" customHeight="1">
      <c r="A25" s="6" t="inlineStr">
        <is>
          <t xml:space="preserve">   Margen Bruto de Utilidad (DuPont)</t>
        </is>
      </c>
      <c r="B25" s="20" t="n">
        <v>0.4268</v>
      </c>
      <c r="C25" s="20" t="n">
        <v>0.445</v>
      </c>
      <c r="D25" s="20" t="n">
        <v>0.4609</v>
      </c>
      <c r="E25" s="20" t="n">
        <v>0.4979</v>
      </c>
      <c r="F25" s="20" t="n">
        <v>0.49</v>
      </c>
      <c r="G25" s="20" t="n">
        <v>0.4251</v>
      </c>
      <c r="H25" s="20" t="n">
        <v>0.4302</v>
      </c>
      <c r="I25" s="20" t="n">
        <v>0.48</v>
      </c>
      <c r="J25" s="20" t="n">
        <v>0.4842</v>
      </c>
      <c r="K25" s="20" t="n">
        <v>0.5146999999999999</v>
      </c>
      <c r="L25" s="20" t="n">
        <v>0.6358</v>
      </c>
    </row>
    <row r="26" ht="18.5" customHeight="1">
      <c r="A26" s="6" t="inlineStr">
        <is>
          <t xml:space="preserve">   Rotación de Activos Totales (DuPont)</t>
        </is>
      </c>
      <c r="B26" s="21" t="n">
        <v>0.6850611418334761</v>
      </c>
      <c r="C26" s="21" t="n">
        <v>0.6771743970750228</v>
      </c>
      <c r="D26" s="21" t="n">
        <v>0.8246150182568661</v>
      </c>
      <c r="E26" s="21" t="n">
        <v>0.8201858778193358</v>
      </c>
      <c r="F26" s="21" t="n">
        <v>0.7671083284799068</v>
      </c>
      <c r="G26" s="21" t="n">
        <v>0.6998612436316708</v>
      </c>
      <c r="H26" s="21" t="n">
        <v>0.6088358667625245</v>
      </c>
      <c r="I26" s="21" t="n">
        <v>0.4802305293252952</v>
      </c>
      <c r="J26" s="21" t="n">
        <v>0.6428402706116805</v>
      </c>
      <c r="K26" s="21" t="n">
        <v>0.8355880125771955</v>
      </c>
      <c r="L26" s="21" t="n">
        <v>0.6175035742101087</v>
      </c>
    </row>
    <row r="27" ht="18.5" customHeight="1">
      <c r="A27" s="6" t="inlineStr">
        <is>
          <t xml:space="preserve">   Rotación de Activos Operativos (Ex-Caja)</t>
        </is>
      </c>
      <c r="B27" s="21" t="n">
        <v>0.7374599115433794</v>
      </c>
      <c r="C27" s="21" t="n">
        <v>0.7409031463958766</v>
      </c>
      <c r="D27" s="21" t="n">
        <v>0.9209254908913612</v>
      </c>
      <c r="E27" s="21" t="n">
        <v>0.9591119946984759</v>
      </c>
      <c r="F27" s="21" t="n">
        <v>0.8910028750211398</v>
      </c>
      <c r="G27" s="21" t="n">
        <v>0.9405097163973152</v>
      </c>
      <c r="H27" s="21" t="n">
        <v>0.8508603326211183</v>
      </c>
      <c r="I27" s="21" t="n">
        <v>0.6759926769623701</v>
      </c>
      <c r="J27" s="21" t="n">
        <v>0.8001686317208828</v>
      </c>
      <c r="K27" s="21" t="n">
        <v>1.088073485886747</v>
      </c>
      <c r="L27" s="21" t="n">
        <v>0.7450804953696963</v>
      </c>
    </row>
    <row r="28" ht="10" customHeight="1"/>
    <row r="29" ht="22" customHeight="1">
      <c r="A29" s="18" t="inlineStr">
        <is>
          <t>RENDIMIENTO DEL CAPITAL Y CREACIÓN DE VALOR (ROIC AJUSTADO VS WACC)</t>
        </is>
      </c>
      <c r="B29" s="19" t="n"/>
      <c r="C29" s="19" t="n"/>
      <c r="D29" s="19" t="n"/>
      <c r="E29" s="19" t="n"/>
      <c r="F29" s="19" t="n"/>
      <c r="G29" s="19" t="n"/>
      <c r="H29" s="19" t="n"/>
      <c r="I29" s="19" t="n"/>
      <c r="J29" s="19" t="n"/>
      <c r="K29" s="19" t="n"/>
      <c r="L29" s="19" t="n"/>
    </row>
    <row r="30" ht="18.5" customHeight="1">
      <c r="A30" s="6" t="inlineStr">
        <is>
          <t xml:space="preserve">   ROIC Tradicional (NOPAT / Cap. Invertido)</t>
        </is>
      </c>
      <c r="B30" s="20" t="n">
        <v>0.1741600995437578</v>
      </c>
      <c r="C30" s="20" t="n">
        <v>0.2756108354551147</v>
      </c>
      <c r="D30" s="20" t="n">
        <v>0.4240321674160275</v>
      </c>
      <c r="E30" s="20" t="n">
        <v>0.3358225875017713</v>
      </c>
      <c r="F30" s="20" t="n">
        <v>0.2718922625392658</v>
      </c>
      <c r="G30" s="20" t="n">
        <v>0.2111013630427926</v>
      </c>
      <c r="H30" s="20" t="n">
        <v>0.06197046390977078</v>
      </c>
      <c r="I30" s="20" t="n">
        <v>-0.1062500076835468</v>
      </c>
      <c r="J30" s="20" t="n">
        <v>-0.1155768125340841</v>
      </c>
      <c r="K30" s="20" t="n">
        <v>0.08374063775986192</v>
      </c>
      <c r="L30" s="20" t="n">
        <v>0.2393103288173111</v>
      </c>
    </row>
    <row r="31" ht="18.5" customHeight="1">
      <c r="A31" s="6" t="inlineStr">
        <is>
          <t xml:space="preserve">   ROIC Ajustado por Intangibles (Damodaran)</t>
        </is>
      </c>
      <c r="B31" s="20" t="n">
        <v>0.1245003597318859</v>
      </c>
      <c r="C31" s="20" t="n">
        <v>0.2233996936958894</v>
      </c>
      <c r="D31" s="20" t="n">
        <v>0.3048908444842894</v>
      </c>
      <c r="E31" s="20" t="n">
        <v>0.3091911700688882</v>
      </c>
      <c r="F31" s="20" t="n">
        <v>0.3043515013964325</v>
      </c>
      <c r="G31" s="20" t="n">
        <v>0.2519495791229983</v>
      </c>
      <c r="H31" s="20" t="n">
        <v>0.1438939818745283</v>
      </c>
      <c r="I31" s="20" t="n">
        <v>0.07232600023918458</v>
      </c>
      <c r="J31" s="20" t="n">
        <v>0.1409352827932043</v>
      </c>
      <c r="K31" s="20" t="n">
        <v>0.1968871032995366</v>
      </c>
      <c r="L31" s="20" t="n">
        <v>0.3077129870641689</v>
      </c>
    </row>
    <row r="32" ht="18.5" customHeight="1">
      <c r="A32" s="6" t="inlineStr">
        <is>
          <t xml:space="preserve">   Stock de Intangibles Capitalizados ($M)</t>
        </is>
      </c>
      <c r="B32" s="22" t="n">
        <v>7451.166666666666</v>
      </c>
      <c r="C32" s="22" t="n">
        <v>7451.166666666666</v>
      </c>
      <c r="D32" s="22" t="n">
        <v>5930.374999999999</v>
      </c>
      <c r="E32" s="22" t="n">
        <v>4622.317666666667</v>
      </c>
      <c r="F32" s="22" t="n">
        <v>2962.836958333333</v>
      </c>
      <c r="G32" s="22" t="n">
        <v>1738.69</v>
      </c>
      <c r="H32" s="22" t="n">
        <v>1102.726333333333</v>
      </c>
      <c r="I32" s="22" t="n">
        <v>730.9545833333333</v>
      </c>
      <c r="J32" s="22" t="n">
        <v>420.811375</v>
      </c>
      <c r="K32" s="22" t="n">
        <v>210.307</v>
      </c>
      <c r="L32" s="22" t="n">
        <v>88.95050000000001</v>
      </c>
    </row>
    <row r="33" ht="18.5" customHeight="1">
      <c r="A33" s="6" t="inlineStr">
        <is>
          <t xml:space="preserve">   Capital Invertido Reconstituido Promedio ($M)</t>
        </is>
      </c>
      <c r="B33" s="22" t="n">
        <v>18300.66666666666</v>
      </c>
      <c r="C33" s="22" t="n">
        <v>14851.77083333333</v>
      </c>
      <c r="D33" s="22" t="n">
        <v>10151.84633333333</v>
      </c>
      <c r="E33" s="22" t="n">
        <v>7321.0773125</v>
      </c>
      <c r="F33" s="22" t="n">
        <v>4822.698479166666</v>
      </c>
      <c r="G33" s="22" t="n">
        <v>2777.672166666666</v>
      </c>
      <c r="H33" s="22" t="n">
        <v>2256.184958333333</v>
      </c>
      <c r="I33" s="22" t="n">
        <v>1714.679979166667</v>
      </c>
      <c r="J33" s="22" t="n">
        <v>790.4881874999999</v>
      </c>
      <c r="K33" s="22" t="n">
        <v>586.4232500000001</v>
      </c>
      <c r="L33" s="22" t="n">
        <v>645.6445000000001</v>
      </c>
    </row>
    <row r="34" ht="18.5" customHeight="1">
      <c r="A34" s="6" t="inlineStr">
        <is>
          <t xml:space="preserve">   Costo Promedio Ponderado de Capital (WACC)</t>
        </is>
      </c>
      <c r="B34" s="20" t="n">
        <v>0.1039999361819735</v>
      </c>
      <c r="C34" s="20" t="n">
        <v>0.1039999361819735</v>
      </c>
      <c r="D34" s="20" t="n">
        <v>0.1039999361819735</v>
      </c>
      <c r="E34" s="20" t="n">
        <v>0.1039999361819735</v>
      </c>
      <c r="F34" s="20" t="n">
        <v>0.1039999361819735</v>
      </c>
      <c r="G34" s="20" t="n">
        <v>0.1039999361819735</v>
      </c>
      <c r="H34" s="20" t="n">
        <v>0.1039999361819735</v>
      </c>
      <c r="I34" s="20" t="n">
        <v>0.1039999361819735</v>
      </c>
      <c r="J34" s="20" t="n">
        <v>0.1039999361819735</v>
      </c>
      <c r="K34" s="20" t="n">
        <v>0.1039999361819735</v>
      </c>
      <c r="L34" s="20" t="n">
        <v>0.1039999361819735</v>
      </c>
    </row>
    <row r="35" ht="18.5" customHeight="1">
      <c r="A35" s="6" t="inlineStr">
        <is>
          <t xml:space="preserve">   Spread Económico (ROIC Ajustado - WACC)</t>
        </is>
      </c>
      <c r="B35" s="23" t="n">
        <v>0.02050042354991247</v>
      </c>
      <c r="C35" s="23" t="n">
        <v>0.1193997575139159</v>
      </c>
      <c r="D35" s="23" t="n">
        <v>0.2008909083023159</v>
      </c>
      <c r="E35" s="23" t="n">
        <v>0.2051912338869148</v>
      </c>
      <c r="F35" s="23" t="n">
        <v>0.2003515652144591</v>
      </c>
      <c r="G35" s="23" t="n">
        <v>0.1479496429410248</v>
      </c>
      <c r="H35" s="23" t="n">
        <v>0.03989404569255481</v>
      </c>
      <c r="I35" s="23" t="n">
        <v>-0.0316739359427889</v>
      </c>
      <c r="J35" s="23" t="n">
        <v>0.03693534661123085</v>
      </c>
      <c r="K35" s="23" t="n">
        <v>0.09288716711756315</v>
      </c>
      <c r="L35" s="23" t="n">
        <v>0.2037130508821955</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4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Estado de Resultados Oficial</t>
        </is>
      </c>
    </row>
    <row r="2" ht="18" customHeight="1">
      <c r="A2" s="2" t="inlineStr">
        <is>
          <t>Cifras expresadas en Millones de USD ($M), salvo BPA | US-GAAP Auditado</t>
        </is>
      </c>
    </row>
    <row r="3" ht="8" customHeight="1"/>
    <row r="4" ht="25" customHeight="1">
      <c r="A4" s="3" t="inlineStr">
        <is>
          <t>Concepto Contable</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c r="A5" s="6" t="inlineStr">
        <is>
          <t>Total Revenue</t>
        </is>
      </c>
      <c r="B5" s="7" t="n">
        <v>24461</v>
      </c>
      <c r="C5" s="7" t="n">
        <v>20335</v>
      </c>
      <c r="D5" s="7" t="n">
        <v>15137</v>
      </c>
      <c r="E5" s="7" t="n">
        <v>10487</v>
      </c>
      <c r="F5" s="7" t="n">
        <v>10537</v>
      </c>
      <c r="G5" s="7" t="n">
        <v>7069.409</v>
      </c>
      <c r="H5" s="7" t="n">
        <v>3973.465</v>
      </c>
      <c r="I5" s="7" t="n">
        <v>2296.314</v>
      </c>
      <c r="J5" s="7" t="n">
        <v>1439.653</v>
      </c>
      <c r="K5" s="7" t="n">
        <v>1398.095</v>
      </c>
      <c r="L5" s="7" t="n">
        <v>844.396</v>
      </c>
    </row>
    <row r="6" ht="18.5" customHeight="1">
      <c r="A6" s="6" t="inlineStr">
        <is>
          <t>Cost of Revenue</t>
        </is>
      </c>
      <c r="B6" s="7" t="n">
        <v>11902</v>
      </c>
      <c r="C6" s="7" t="n">
        <v>16035</v>
      </c>
      <c r="D6" s="7" t="n">
        <v>11200</v>
      </c>
      <c r="E6" s="7" t="n">
        <v>7267</v>
      </c>
      <c r="F6" s="7" t="n">
        <v>5374</v>
      </c>
      <c r="G6" s="7" t="n">
        <v>4064.357</v>
      </c>
      <c r="H6" s="7" t="n">
        <v>2264.255</v>
      </c>
      <c r="I6" s="7" t="n">
        <v>1194.191</v>
      </c>
      <c r="J6" s="7" t="n">
        <v>424.838</v>
      </c>
      <c r="K6" s="7" t="n">
        <v>678.495</v>
      </c>
      <c r="L6" s="7" t="n">
        <v>307.538</v>
      </c>
    </row>
    <row r="7" ht="18.5" customHeight="1">
      <c r="A7" s="8" t="inlineStr">
        <is>
          <t>Operating Income (Loss)</t>
        </is>
      </c>
      <c r="B7" s="9" t="n">
        <v>2907</v>
      </c>
      <c r="C7" s="9" t="n">
        <v>3201</v>
      </c>
      <c r="D7" s="9" t="n">
        <v>2631</v>
      </c>
      <c r="E7" s="9" t="n">
        <v>1823</v>
      </c>
      <c r="F7" s="9" t="n">
        <v>1034</v>
      </c>
      <c r="G7" s="9" t="n">
        <v>440.703</v>
      </c>
      <c r="H7" s="9" t="n">
        <v>127.692</v>
      </c>
      <c r="I7" s="9" t="n">
        <v>-153.161</v>
      </c>
      <c r="J7" s="9" t="n">
        <v>-69.482</v>
      </c>
      <c r="K7" s="9" t="n">
        <v>56.273</v>
      </c>
      <c r="L7" s="9" t="n">
        <v>181.056</v>
      </c>
    </row>
    <row r="8" ht="18.5" customHeight="1">
      <c r="A8" s="6" t="inlineStr">
        <is>
          <t>Income (Loss) from Continuing Operations before Income Taxes, Noncontrolling Interest</t>
        </is>
      </c>
      <c r="B8" s="7" t="n">
        <v>2605</v>
      </c>
      <c r="C8" s="7" t="n">
        <v>2842</v>
      </c>
      <c r="D8" s="7" t="n">
        <v>2432</v>
      </c>
      <c r="E8" s="7" t="n">
        <v>1553</v>
      </c>
      <c r="F8" s="7" t="n">
        <v>780</v>
      </c>
      <c r="G8" s="7" t="n">
        <v>240.628</v>
      </c>
      <c r="H8" s="7" t="n">
        <v>81.315</v>
      </c>
      <c r="I8" s="7" t="n">
        <v>-107.246</v>
      </c>
      <c r="J8" s="7" t="n">
        <v>-65.452</v>
      </c>
      <c r="K8" s="7" t="n">
        <v>54.07</v>
      </c>
      <c r="L8" s="7" t="n">
        <v>185.328</v>
      </c>
    </row>
    <row r="9" ht="18.5" customHeight="1">
      <c r="A9" s="6" t="inlineStr">
        <is>
          <t>Income Tax Expense (Benefit)</t>
        </is>
      </c>
      <c r="B9" s="7" t="n">
        <v>948</v>
      </c>
      <c r="C9" s="7" t="n">
        <v>845</v>
      </c>
      <c r="D9" s="7" t="n">
        <v>521</v>
      </c>
      <c r="E9" s="7" t="n">
        <v>569</v>
      </c>
      <c r="F9" s="7" t="n">
        <v>298</v>
      </c>
      <c r="G9" s="7" t="n">
        <v>148.802</v>
      </c>
      <c r="H9" s="7" t="n">
        <v>82.02200000000001</v>
      </c>
      <c r="I9" s="7" t="n">
        <v>64.753</v>
      </c>
      <c r="J9" s="7" t="n">
        <v>-28.867</v>
      </c>
      <c r="K9" s="7" t="n">
        <v>40.29</v>
      </c>
      <c r="L9" s="7" t="n">
        <v>48.962</v>
      </c>
    </row>
    <row r="10" ht="18.5" customHeight="1">
      <c r="A10" s="8" t="inlineStr">
        <is>
          <t>Net Income (Loss) Attributable to Parent</t>
        </is>
      </c>
      <c r="B10" s="9" t="n">
        <v>1863</v>
      </c>
      <c r="C10" s="9" t="n">
        <v>1997</v>
      </c>
      <c r="D10" s="9" t="n">
        <v>1911</v>
      </c>
      <c r="E10" s="9" t="n">
        <v>987</v>
      </c>
      <c r="F10" s="9" t="n">
        <v>482</v>
      </c>
      <c r="G10" s="9" t="n">
        <v>83.304</v>
      </c>
      <c r="H10" s="9" t="n">
        <v>-0.707</v>
      </c>
      <c r="I10" s="9" t="n">
        <v>-171.999</v>
      </c>
      <c r="J10" s="24" t="inlineStr">
        <is>
          <t>-</t>
        </is>
      </c>
      <c r="K10" s="24" t="inlineStr">
        <is>
          <t>-</t>
        </is>
      </c>
      <c r="L10" s="9" t="n">
        <v>136.366</v>
      </c>
    </row>
    <row r="11" ht="18.5" customHeight="1">
      <c r="A11" s="8" t="inlineStr">
        <is>
          <t>Earnings Per Share, Basic</t>
        </is>
      </c>
      <c r="B11" s="14" t="n">
        <v>36.76000000000001</v>
      </c>
      <c r="C11" s="14" t="n">
        <v>39.4</v>
      </c>
      <c r="D11" s="14" t="n">
        <v>37.69</v>
      </c>
      <c r="E11" s="14" t="n">
        <v>19.64</v>
      </c>
      <c r="F11" s="14" t="n">
        <v>9.57</v>
      </c>
      <c r="G11" s="14" t="n">
        <v>1.67</v>
      </c>
      <c r="H11" s="14" t="n">
        <v>-0.08</v>
      </c>
      <c r="I11" s="14" t="n">
        <v>-3.71</v>
      </c>
      <c r="J11" s="14" t="n">
        <v>-0.82</v>
      </c>
      <c r="K11" s="14" t="n">
        <v>0.31</v>
      </c>
      <c r="L11" s="14" t="n">
        <v>3.09</v>
      </c>
    </row>
    <row r="12" ht="18.5" customHeight="1">
      <c r="A12" s="8" t="inlineStr">
        <is>
          <t>Earnings Per Share, Diluted</t>
        </is>
      </c>
      <c r="B12" s="14" t="n">
        <v>36.76000000000001</v>
      </c>
      <c r="C12" s="14" t="n">
        <v>39.4</v>
      </c>
      <c r="D12" s="14" t="n">
        <v>37.69</v>
      </c>
      <c r="E12" s="14" t="n">
        <v>19.46</v>
      </c>
      <c r="F12" s="14" t="n">
        <v>9.529999999999999</v>
      </c>
      <c r="G12" s="14" t="n">
        <v>1.67</v>
      </c>
      <c r="H12" s="14" t="n">
        <v>-0.08</v>
      </c>
      <c r="I12" s="14" t="n">
        <v>-3.71</v>
      </c>
      <c r="J12" s="14" t="n">
        <v>-0.82</v>
      </c>
      <c r="K12" s="14" t="n">
        <v>0.31</v>
      </c>
      <c r="L12" s="14" t="n">
        <v>3.09</v>
      </c>
    </row>
    <row r="13" ht="18.5" customHeight="1">
      <c r="A13" s="6" t="inlineStr">
        <is>
          <t>Revenues:</t>
        </is>
      </c>
      <c r="B13" s="25" t="inlineStr">
        <is>
          <t>-</t>
        </is>
      </c>
      <c r="C13" s="25" t="inlineStr">
        <is>
          <t>-</t>
        </is>
      </c>
      <c r="D13" s="25" t="inlineStr">
        <is>
          <t>-</t>
        </is>
      </c>
      <c r="E13" s="25" t="inlineStr">
        <is>
          <t>-</t>
        </is>
      </c>
      <c r="F13" s="25" t="inlineStr">
        <is>
          <t>-</t>
        </is>
      </c>
      <c r="G13" s="25" t="inlineStr">
        <is>
          <t>-</t>
        </is>
      </c>
      <c r="H13" s="25" t="inlineStr">
        <is>
          <t>-</t>
        </is>
      </c>
      <c r="I13" s="25" t="inlineStr">
        <is>
          <t>-</t>
        </is>
      </c>
      <c r="J13" s="25" t="inlineStr">
        <is>
          <t>-</t>
        </is>
      </c>
      <c r="K13" s="25" t="inlineStr">
        <is>
          <t>-</t>
        </is>
      </c>
      <c r="L13" s="25" t="inlineStr">
        <is>
          <t>-</t>
        </is>
      </c>
    </row>
    <row r="14" ht="18.5" customHeight="1">
      <c r="A14" s="6" t="inlineStr">
        <is>
          <t>Revenues</t>
        </is>
      </c>
      <c r="B14" s="7" t="n">
        <v>35182</v>
      </c>
      <c r="C14" s="7" t="n">
        <v>28893</v>
      </c>
      <c r="D14" s="7" t="n">
        <v>20777</v>
      </c>
      <c r="E14" s="7" t="n">
        <v>14473</v>
      </c>
      <c r="F14" s="25" t="inlineStr">
        <is>
          <t>-</t>
        </is>
      </c>
      <c r="G14" s="25" t="inlineStr">
        <is>
          <t>-</t>
        </is>
      </c>
      <c r="H14" s="25" t="inlineStr">
        <is>
          <t>-</t>
        </is>
      </c>
      <c r="I14" s="25" t="inlineStr">
        <is>
          <t>-</t>
        </is>
      </c>
      <c r="J14" s="7" t="n">
        <v>1439.653</v>
      </c>
      <c r="K14" s="25" t="inlineStr">
        <is>
          <t>-</t>
        </is>
      </c>
      <c r="L14" s="25" t="inlineStr">
        <is>
          <t>-</t>
        </is>
      </c>
    </row>
    <row r="15" ht="18.5" customHeight="1">
      <c r="A15" s="6" t="inlineStr">
        <is>
          <t>Weighted Average Number of Shares Outstanding, Basic</t>
        </is>
      </c>
      <c r="B15" s="17" t="n">
        <v>50.697176</v>
      </c>
      <c r="C15" s="17" t="n">
        <v>50.697299</v>
      </c>
      <c r="D15" s="17" t="n">
        <v>50.697428</v>
      </c>
      <c r="E15" s="17" t="n">
        <v>50.262302</v>
      </c>
      <c r="F15" s="17" t="n">
        <v>50.345353</v>
      </c>
      <c r="G15" s="17" t="n">
        <v>49.802993</v>
      </c>
      <c r="H15" s="17" t="n">
        <v>49.740407</v>
      </c>
      <c r="I15" s="17" t="n">
        <v>48.692906</v>
      </c>
      <c r="J15" s="17" t="n">
        <v>44.529614</v>
      </c>
      <c r="K15" s="17" t="n">
        <v>44.157364</v>
      </c>
      <c r="L15" s="17" t="n">
        <v>44.157251</v>
      </c>
    </row>
    <row r="16" ht="18.5" customHeight="1">
      <c r="A16" s="6" t="inlineStr">
        <is>
          <t>Weighted Average Number of Shares Outstanding, Diluted</t>
        </is>
      </c>
      <c r="B16" s="17" t="n">
        <v>50.697299</v>
      </c>
      <c r="C16" s="17" t="n">
        <v>50.69732</v>
      </c>
      <c r="D16" s="17" t="n">
        <v>50.697428</v>
      </c>
      <c r="E16" s="17" t="n">
        <v>51.00686</v>
      </c>
      <c r="F16" s="17" t="n">
        <v>51.335621</v>
      </c>
      <c r="G16" s="17" t="n">
        <v>49.802993</v>
      </c>
      <c r="H16" s="17" t="n">
        <v>49.740407</v>
      </c>
      <c r="I16" s="17" t="n">
        <v>48.692906</v>
      </c>
      <c r="J16" s="17" t="n">
        <v>44.529614</v>
      </c>
      <c r="K16" s="17" t="n">
        <v>44.157364</v>
      </c>
      <c r="L16" s="17" t="n">
        <v>44.157251</v>
      </c>
    </row>
    <row r="17" ht="18.5" customHeight="1">
      <c r="A17" s="6" t="inlineStr">
        <is>
          <t>Additional Financial Items</t>
        </is>
      </c>
      <c r="B17" s="25" t="inlineStr">
        <is>
          <t>-</t>
        </is>
      </c>
      <c r="C17" s="25" t="inlineStr">
        <is>
          <t>-</t>
        </is>
      </c>
      <c r="D17" s="25" t="inlineStr">
        <is>
          <t>-</t>
        </is>
      </c>
      <c r="E17" s="25" t="inlineStr">
        <is>
          <t>-</t>
        </is>
      </c>
      <c r="F17" s="25" t="inlineStr">
        <is>
          <t>-</t>
        </is>
      </c>
      <c r="G17" s="25" t="inlineStr">
        <is>
          <t>-</t>
        </is>
      </c>
      <c r="H17" s="25" t="inlineStr">
        <is>
          <t>-</t>
        </is>
      </c>
      <c r="I17" s="25" t="inlineStr">
        <is>
          <t>-</t>
        </is>
      </c>
      <c r="J17" s="25" t="inlineStr">
        <is>
          <t>-</t>
        </is>
      </c>
      <c r="K17" s="25" t="inlineStr">
        <is>
          <t>-</t>
        </is>
      </c>
      <c r="L17" s="25" t="inlineStr">
        <is>
          <t>-</t>
        </is>
      </c>
    </row>
    <row r="18" ht="18.5" customHeight="1">
      <c r="A18" s="6" t="inlineStr">
        <is>
          <t>Amortization of Intangible Assets</t>
        </is>
      </c>
      <c r="B18" s="7" t="n">
        <v>10</v>
      </c>
      <c r="C18" s="7" t="n">
        <v>9</v>
      </c>
      <c r="D18" s="7" t="n">
        <v>5</v>
      </c>
      <c r="E18" s="7" t="n">
        <v>6</v>
      </c>
      <c r="F18" s="7" t="n">
        <v>9</v>
      </c>
      <c r="G18" s="7" t="n">
        <v>5.624</v>
      </c>
      <c r="H18" s="7" t="n">
        <v>5.293</v>
      </c>
      <c r="I18" s="7" t="n">
        <v>3.912</v>
      </c>
      <c r="J18" s="7" t="n">
        <v>6.102</v>
      </c>
      <c r="K18" s="7" t="n">
        <v>4.402</v>
      </c>
      <c r="L18" s="7" t="n">
        <v>4.03</v>
      </c>
    </row>
    <row r="19" ht="18.5" customHeight="1">
      <c r="A19" s="6" t="inlineStr">
        <is>
          <t>Common Stock, Dividends, Per Share, Declared</t>
        </is>
      </c>
      <c r="B19" s="25" t="inlineStr">
        <is>
          <t>-</t>
        </is>
      </c>
      <c r="C19" s="25" t="inlineStr">
        <is>
          <t>-</t>
        </is>
      </c>
      <c r="D19" s="25" t="inlineStr">
        <is>
          <t>-</t>
        </is>
      </c>
      <c r="E19" s="25" t="inlineStr">
        <is>
          <t>-</t>
        </is>
      </c>
      <c r="F19" s="25" t="inlineStr">
        <is>
          <t>-</t>
        </is>
      </c>
      <c r="G19" s="25" t="inlineStr">
        <is>
          <t>-</t>
        </is>
      </c>
      <c r="H19" s="25" t="inlineStr">
        <is>
          <t>-</t>
        </is>
      </c>
      <c r="I19" s="25" t="inlineStr">
        <is>
          <t>-</t>
        </is>
      </c>
      <c r="J19" s="25" t="inlineStr">
        <is>
          <t>-</t>
        </is>
      </c>
      <c r="K19" s="7" t="n">
        <v>6e-07</v>
      </c>
      <c r="L19" s="7" t="n">
        <v>6e-07</v>
      </c>
    </row>
    <row r="20" ht="18.5" customHeight="1">
      <c r="A20" s="6" t="inlineStr">
        <is>
          <t>Cost of Goods and Services Sold</t>
        </is>
      </c>
      <c r="B20" s="7" t="n">
        <v>16035</v>
      </c>
      <c r="C20" s="7" t="n">
        <v>16035</v>
      </c>
      <c r="D20" s="7" t="n">
        <v>11200</v>
      </c>
      <c r="E20" s="7" t="n">
        <v>7267</v>
      </c>
      <c r="F20" s="7" t="n">
        <v>5374</v>
      </c>
      <c r="G20" s="7" t="n">
        <v>4064.357</v>
      </c>
      <c r="H20" s="7" t="n">
        <v>2264.255</v>
      </c>
      <c r="I20" s="7" t="n">
        <v>1194.191</v>
      </c>
      <c r="J20" s="7" t="n">
        <v>742.645</v>
      </c>
      <c r="K20" s="7" t="n">
        <v>678.495</v>
      </c>
      <c r="L20" s="7" t="n">
        <v>307.538</v>
      </c>
    </row>
    <row r="21" ht="18.5" customHeight="1">
      <c r="A21" s="6" t="inlineStr">
        <is>
          <t>Current Income Tax Expense (Benefit)</t>
        </is>
      </c>
      <c r="B21" s="7" t="n">
        <v>1314</v>
      </c>
      <c r="C21" s="7" t="n">
        <v>1314</v>
      </c>
      <c r="D21" s="7" t="n">
        <v>764</v>
      </c>
      <c r="E21" s="7" t="n">
        <v>853</v>
      </c>
      <c r="F21" s="7" t="n">
        <v>395</v>
      </c>
      <c r="G21" s="7" t="n">
        <v>178.283</v>
      </c>
      <c r="H21" s="7" t="n">
        <v>152.337</v>
      </c>
      <c r="I21" s="7" t="n">
        <v>48.3</v>
      </c>
      <c r="J21" s="7" t="n">
        <v>64.018</v>
      </c>
      <c r="K21" s="7" t="n">
        <v>64.86499999999999</v>
      </c>
      <c r="L21" s="7" t="n">
        <v>55.15</v>
      </c>
    </row>
    <row r="22" ht="18.5" customHeight="1">
      <c r="A22" s="6" t="inlineStr">
        <is>
          <t>Depreciation, Depletion and Amortization, Nonproduction</t>
        </is>
      </c>
      <c r="B22" s="7" t="n">
        <v>985</v>
      </c>
      <c r="C22" s="7" t="n">
        <v>818</v>
      </c>
      <c r="D22" s="7" t="n">
        <v>617</v>
      </c>
      <c r="E22" s="7" t="n">
        <v>524</v>
      </c>
      <c r="F22" s="7" t="n">
        <v>403</v>
      </c>
      <c r="G22" s="7" t="n">
        <v>203.942</v>
      </c>
      <c r="H22" s="7" t="n">
        <v>104.992</v>
      </c>
      <c r="I22" s="7" t="n">
        <v>73.31999999999999</v>
      </c>
      <c r="J22" s="7" t="n">
        <v>45.792</v>
      </c>
      <c r="K22" s="7" t="n">
        <v>40.921</v>
      </c>
      <c r="L22" s="7" t="n">
        <v>29.022</v>
      </c>
    </row>
    <row r="23" ht="18.5" customHeight="1">
      <c r="A23" s="6" t="inlineStr">
        <is>
          <t>Equity Securities without Readily Determinable Fair Value, Impairment Loss, Annual Amount</t>
        </is>
      </c>
      <c r="B23" s="7" t="n">
        <v>19</v>
      </c>
      <c r="C23" s="7" t="n">
        <v>19</v>
      </c>
      <c r="D23" s="25" t="inlineStr">
        <is>
          <t>-</t>
        </is>
      </c>
      <c r="E23" s="25" t="inlineStr">
        <is>
          <t>-</t>
        </is>
      </c>
      <c r="F23" s="25" t="inlineStr">
        <is>
          <t>-</t>
        </is>
      </c>
      <c r="G23" s="25" t="inlineStr">
        <is>
          <t>-</t>
        </is>
      </c>
      <c r="H23" s="25" t="inlineStr">
        <is>
          <t>-</t>
        </is>
      </c>
      <c r="I23" s="25" t="inlineStr">
        <is>
          <t>-</t>
        </is>
      </c>
      <c r="J23" s="25" t="inlineStr">
        <is>
          <t>-</t>
        </is>
      </c>
      <c r="K23" s="25" t="inlineStr">
        <is>
          <t>-</t>
        </is>
      </c>
      <c r="L23" s="25" t="inlineStr">
        <is>
          <t>-</t>
        </is>
      </c>
    </row>
    <row r="24" ht="18.5" customHeight="1">
      <c r="A24" s="6" t="inlineStr">
        <is>
          <t>Fair Value, Option, Changes in Fair Value, Gain (Loss)</t>
        </is>
      </c>
      <c r="B24" s="25" t="inlineStr">
        <is>
          <t>-</t>
        </is>
      </c>
      <c r="C24" s="25" t="inlineStr">
        <is>
          <t>-</t>
        </is>
      </c>
      <c r="D24" s="25" t="inlineStr">
        <is>
          <t>-</t>
        </is>
      </c>
      <c r="E24" s="7" t="n">
        <v>268</v>
      </c>
      <c r="F24" s="7" t="n">
        <v>29</v>
      </c>
      <c r="G24" s="7" t="n">
        <v>9.218</v>
      </c>
      <c r="H24" s="7" t="n">
        <v>8.433</v>
      </c>
      <c r="I24" s="7" t="n">
        <v>2.295</v>
      </c>
      <c r="J24" s="25" t="inlineStr">
        <is>
          <t>-</t>
        </is>
      </c>
      <c r="K24" s="25" t="inlineStr">
        <is>
          <t>-</t>
        </is>
      </c>
      <c r="L24" s="25" t="inlineStr">
        <is>
          <t>-</t>
        </is>
      </c>
    </row>
    <row r="25" ht="18.5" customHeight="1">
      <c r="A25" s="6" t="inlineStr">
        <is>
          <t>Foreign Currency Transaction Gain (Loss), before Tax</t>
        </is>
      </c>
      <c r="B25" s="7" t="n">
        <v>-204</v>
      </c>
      <c r="C25" s="7" t="n">
        <v>-337</v>
      </c>
      <c r="D25" s="7" t="n">
        <v>-182</v>
      </c>
      <c r="E25" s="7" t="n">
        <v>-615</v>
      </c>
      <c r="F25" s="7" t="n">
        <v>-198</v>
      </c>
      <c r="G25" s="7" t="n">
        <v>-109.333</v>
      </c>
      <c r="H25" s="7" t="n">
        <v>-42.454</v>
      </c>
      <c r="I25" s="7" t="n">
        <v>-1.732</v>
      </c>
      <c r="J25" s="7" t="n">
        <v>18.24</v>
      </c>
      <c r="K25" s="7" t="n">
        <v>-21.635</v>
      </c>
      <c r="L25" s="7" t="n">
        <v>-5.565</v>
      </c>
    </row>
    <row r="26" ht="18.5" customHeight="1">
      <c r="A26" s="6" t="inlineStr">
        <is>
          <t>Gains (Losses) on Sales of Credit Card Portfolio</t>
        </is>
      </c>
      <c r="B26" s="25" t="inlineStr">
        <is>
          <t>-</t>
        </is>
      </c>
      <c r="C26" s="25" t="inlineStr">
        <is>
          <t>-</t>
        </is>
      </c>
      <c r="D26" s="25" t="inlineStr">
        <is>
          <t>-</t>
        </is>
      </c>
      <c r="E26" s="25" t="inlineStr">
        <is>
          <t>-</t>
        </is>
      </c>
      <c r="F26" s="25" t="inlineStr">
        <is>
          <t>-</t>
        </is>
      </c>
      <c r="G26" s="7" t="n">
        <v>575.1849999999999</v>
      </c>
      <c r="H26" s="7" t="n">
        <v>452.892</v>
      </c>
      <c r="I26" s="7" t="n">
        <v>359.037</v>
      </c>
      <c r="J26" s="7" t="n">
        <v>258.595</v>
      </c>
      <c r="K26" s="7" t="n">
        <v>185.469</v>
      </c>
      <c r="L26" s="7" t="n">
        <v>119.779</v>
      </c>
    </row>
    <row r="27" ht="18.5" customHeight="1">
      <c r="A27" s="6" t="inlineStr">
        <is>
          <t>General and Administrative Expense</t>
        </is>
      </c>
      <c r="B27" s="7" t="n">
        <v>928</v>
      </c>
      <c r="C27" s="7" t="n">
        <v>1078</v>
      </c>
      <c r="D27" s="7" t="n">
        <v>963</v>
      </c>
      <c r="E27" s="7" t="n">
        <v>766</v>
      </c>
      <c r="F27" s="7" t="n">
        <v>661</v>
      </c>
      <c r="G27" s="7" t="n">
        <v>464.528</v>
      </c>
      <c r="H27" s="7" t="n">
        <v>326.49</v>
      </c>
      <c r="I27" s="7" t="n">
        <v>197.455</v>
      </c>
      <c r="J27" s="7" t="n">
        <v>137.77</v>
      </c>
      <c r="K27" s="7" t="n">
        <v>122.194</v>
      </c>
      <c r="L27" s="7" t="n">
        <v>87.31</v>
      </c>
    </row>
    <row r="28" ht="18.5" customHeight="1">
      <c r="A28" s="6" t="inlineStr">
        <is>
          <t>Goodwill, Impairment Loss</t>
        </is>
      </c>
      <c r="B28" s="7" t="n">
        <v>0</v>
      </c>
      <c r="C28" s="7" t="n">
        <v>0</v>
      </c>
      <c r="D28" s="7" t="n">
        <v>0</v>
      </c>
      <c r="E28" s="7" t="n">
        <v>0</v>
      </c>
      <c r="F28" s="7" t="n">
        <v>0</v>
      </c>
      <c r="G28" s="7" t="n">
        <v>0</v>
      </c>
      <c r="H28" s="7" t="n">
        <v>0</v>
      </c>
      <c r="I28" s="7" t="n">
        <v>0</v>
      </c>
      <c r="J28" s="7" t="n">
        <v>0</v>
      </c>
      <c r="K28" s="7" t="n">
        <v>0</v>
      </c>
      <c r="L28" s="7" t="n">
        <v>0</v>
      </c>
    </row>
    <row r="29" ht="18.5" customHeight="1">
      <c r="A29" s="8" t="inlineStr">
        <is>
          <t>Gross Profit</t>
        </is>
      </c>
      <c r="B29" s="9" t="n">
        <v>15014</v>
      </c>
      <c r="C29" s="9" t="n">
        <v>12858</v>
      </c>
      <c r="D29" s="9" t="n">
        <v>9577</v>
      </c>
      <c r="E29" s="9" t="n">
        <v>7206</v>
      </c>
      <c r="F29" s="9" t="n">
        <v>5163</v>
      </c>
      <c r="G29" s="9" t="n">
        <v>3005.052</v>
      </c>
      <c r="H29" s="9" t="n">
        <v>1709.21</v>
      </c>
      <c r="I29" s="9" t="n">
        <v>1102.123</v>
      </c>
      <c r="J29" s="9" t="n">
        <v>697.008</v>
      </c>
      <c r="K29" s="9" t="n">
        <v>719.6</v>
      </c>
      <c r="L29" s="9" t="n">
        <v>536.8579999999999</v>
      </c>
    </row>
    <row r="30" ht="18.5" customHeight="1">
      <c r="A30" s="6" t="inlineStr">
        <is>
          <t>Income (Loss) from Continuing Operations before Income Taxes, Domestic</t>
        </is>
      </c>
      <c r="B30" s="7" t="n">
        <v>-7</v>
      </c>
      <c r="C30" s="7" t="n">
        <v>-7</v>
      </c>
      <c r="D30" s="25" t="inlineStr">
        <is>
          <t>-</t>
        </is>
      </c>
      <c r="E30" s="25" t="inlineStr">
        <is>
          <t>-</t>
        </is>
      </c>
      <c r="F30" s="25" t="inlineStr">
        <is>
          <t>-</t>
        </is>
      </c>
      <c r="G30" s="25" t="inlineStr">
        <is>
          <t>-</t>
        </is>
      </c>
      <c r="H30" s="25" t="inlineStr">
        <is>
          <t>-</t>
        </is>
      </c>
      <c r="I30" s="25" t="inlineStr">
        <is>
          <t>-</t>
        </is>
      </c>
      <c r="J30" s="25" t="inlineStr">
        <is>
          <t>-</t>
        </is>
      </c>
      <c r="K30" s="25" t="inlineStr">
        <is>
          <t>-</t>
        </is>
      </c>
      <c r="L30" s="25" t="inlineStr">
        <is>
          <t>-</t>
        </is>
      </c>
    </row>
    <row r="31" ht="18.5" customHeight="1">
      <c r="A31" s="6" t="inlineStr">
        <is>
          <t>Interest Expense, Debt</t>
        </is>
      </c>
      <c r="B31" s="25" t="inlineStr">
        <is>
          <t>-</t>
        </is>
      </c>
      <c r="C31" s="25" t="inlineStr">
        <is>
          <t>-</t>
        </is>
      </c>
      <c r="D31" s="25" t="inlineStr">
        <is>
          <t>-</t>
        </is>
      </c>
      <c r="E31" s="25" t="inlineStr">
        <is>
          <t>-</t>
        </is>
      </c>
      <c r="F31" s="25" t="inlineStr">
        <is>
          <t>-</t>
        </is>
      </c>
      <c r="G31" s="25" t="inlineStr">
        <is>
          <t>-</t>
        </is>
      </c>
      <c r="H31" s="25" t="inlineStr">
        <is>
          <t>-</t>
        </is>
      </c>
      <c r="I31" s="25" t="inlineStr">
        <is>
          <t>-</t>
        </is>
      </c>
      <c r="J31" s="25" t="inlineStr">
        <is>
          <t>-</t>
        </is>
      </c>
      <c r="K31" s="7" t="n">
        <v>18.512</v>
      </c>
      <c r="L31" s="7" t="n">
        <v>17.883</v>
      </c>
    </row>
    <row r="32" ht="18.5" customHeight="1">
      <c r="A32" s="6" t="inlineStr">
        <is>
          <t>Investment Income, Interest</t>
        </is>
      </c>
      <c r="B32" s="7" t="n">
        <v>114</v>
      </c>
      <c r="C32" s="7" t="n">
        <v>138</v>
      </c>
      <c r="D32" s="7" t="n">
        <v>148</v>
      </c>
      <c r="E32" s="7" t="n">
        <v>723</v>
      </c>
      <c r="F32" s="7" t="n">
        <v>265</v>
      </c>
      <c r="G32" s="7" t="n">
        <v>137.962</v>
      </c>
      <c r="H32" s="7" t="n">
        <v>102.767</v>
      </c>
      <c r="I32" s="7" t="n">
        <v>113.523</v>
      </c>
      <c r="J32" s="7" t="n">
        <v>42.039</v>
      </c>
      <c r="K32" s="7" t="n">
        <v>45.901</v>
      </c>
      <c r="L32" s="7" t="n">
        <v>35.442</v>
      </c>
    </row>
    <row r="33" ht="18.5" customHeight="1">
      <c r="A33" s="8" t="inlineStr">
        <is>
          <t>Net Income (Loss) Available to Common Stockholders, Basic</t>
        </is>
      </c>
      <c r="B33" s="24" t="inlineStr">
        <is>
          <t>-</t>
        </is>
      </c>
      <c r="C33" s="24" t="inlineStr">
        <is>
          <t>-</t>
        </is>
      </c>
      <c r="D33" s="9" t="n">
        <v>1911</v>
      </c>
      <c r="E33" s="9" t="n">
        <v>987</v>
      </c>
      <c r="F33" s="9" t="n">
        <v>482</v>
      </c>
      <c r="G33" s="9" t="n">
        <v>83.304</v>
      </c>
      <c r="H33" s="9" t="n">
        <v>-3.907</v>
      </c>
      <c r="I33" s="9" t="n">
        <v>-180.84</v>
      </c>
      <c r="J33" s="9" t="n">
        <v>-36.585</v>
      </c>
      <c r="K33" s="9" t="n">
        <v>13.78</v>
      </c>
      <c r="L33" s="9" t="n">
        <v>136.366</v>
      </c>
    </row>
    <row r="34" ht="18.5" customHeight="1">
      <c r="A34" s="6" t="inlineStr">
        <is>
          <t>Operating Expenses</t>
        </is>
      </c>
      <c r="B34" s="7" t="n">
        <v>7207</v>
      </c>
      <c r="C34" s="7" t="n">
        <v>9657</v>
      </c>
      <c r="D34" s="7" t="n">
        <v>6946</v>
      </c>
      <c r="E34" s="7" t="n">
        <v>5383</v>
      </c>
      <c r="F34" s="7" t="n">
        <v>4129</v>
      </c>
      <c r="G34" s="7" t="n">
        <v>2564.349</v>
      </c>
      <c r="H34" s="7" t="n">
        <v>1581.518</v>
      </c>
      <c r="I34" s="7" t="n">
        <v>1255.284</v>
      </c>
      <c r="J34" s="7" t="n">
        <v>766.49</v>
      </c>
      <c r="K34" s="7" t="n">
        <v>663.327</v>
      </c>
      <c r="L34" s="7" t="n">
        <v>355.802</v>
      </c>
    </row>
    <row r="35" ht="18.5" customHeight="1">
      <c r="A35" s="6" t="inlineStr">
        <is>
          <t>Research and Development Expense</t>
        </is>
      </c>
      <c r="B35" s="7" t="n">
        <v>1959</v>
      </c>
      <c r="C35" s="7" t="n">
        <v>2269</v>
      </c>
      <c r="D35" s="7" t="n">
        <v>1934</v>
      </c>
      <c r="E35" s="7" t="n">
        <v>1831</v>
      </c>
      <c r="F35" s="7" t="n">
        <v>1099</v>
      </c>
      <c r="G35" s="7" t="n">
        <v>590.328</v>
      </c>
      <c r="H35" s="7" t="n">
        <v>352.474</v>
      </c>
      <c r="I35" s="7" t="n">
        <v>223.807</v>
      </c>
      <c r="J35" s="7" t="n">
        <v>146.273</v>
      </c>
      <c r="K35" s="25" t="inlineStr">
        <is>
          <t>-</t>
        </is>
      </c>
      <c r="L35" s="25" t="inlineStr">
        <is>
          <t>-</t>
        </is>
      </c>
    </row>
    <row r="36" ht="18.5" customHeight="1">
      <c r="A36" s="6" t="inlineStr">
        <is>
          <t>Sales Revenue, Services, Net (Deprecated 2018-01-31)</t>
        </is>
      </c>
      <c r="B36" s="25" t="inlineStr">
        <is>
          <t>-</t>
        </is>
      </c>
      <c r="C36" s="25" t="inlineStr">
        <is>
          <t>-</t>
        </is>
      </c>
      <c r="D36" s="25" t="inlineStr">
        <is>
          <t>-</t>
        </is>
      </c>
      <c r="E36" s="25" t="inlineStr">
        <is>
          <t>-</t>
        </is>
      </c>
      <c r="F36" s="25" t="inlineStr">
        <is>
          <t>-</t>
        </is>
      </c>
      <c r="G36" s="25" t="inlineStr">
        <is>
          <t>-</t>
        </is>
      </c>
      <c r="H36" s="25" t="inlineStr">
        <is>
          <t>-</t>
        </is>
      </c>
      <c r="I36" s="25" t="inlineStr">
        <is>
          <t>-</t>
        </is>
      </c>
      <c r="J36" s="25" t="inlineStr">
        <is>
          <t>-</t>
        </is>
      </c>
      <c r="K36" s="7" t="n">
        <v>1398.095</v>
      </c>
      <c r="L36" s="7" t="n">
        <v>844.396</v>
      </c>
    </row>
    <row r="37" ht="18.5" customHeight="1">
      <c r="A37" s="6" t="inlineStr">
        <is>
          <t>Selling and Marketing Expense</t>
        </is>
      </c>
      <c r="B37" s="7" t="n">
        <v>2456</v>
      </c>
      <c r="C37" s="7" t="n">
        <v>3219</v>
      </c>
      <c r="D37" s="7" t="n">
        <v>2191</v>
      </c>
      <c r="E37" s="7" t="n">
        <v>1736</v>
      </c>
      <c r="F37" s="7" t="n">
        <v>1296</v>
      </c>
      <c r="G37" s="7" t="n">
        <v>1509.493</v>
      </c>
      <c r="H37" s="7" t="n">
        <v>902.554</v>
      </c>
      <c r="I37" s="7" t="n">
        <v>834.022</v>
      </c>
      <c r="J37" s="7" t="n">
        <v>482.447</v>
      </c>
      <c r="K37" s="7" t="n">
        <v>325.375</v>
      </c>
      <c r="L37" s="7" t="n">
        <v>156.296</v>
      </c>
    </row>
    <row r="38" ht="18.5" customHeight="1">
      <c r="A38" s="6" t="inlineStr">
        <is>
          <t>Provision for doubtful accounts</t>
        </is>
      </c>
      <c r="B38" s="7" t="n">
        <v>-4318</v>
      </c>
      <c r="C38" s="7" t="n">
        <v>-3091</v>
      </c>
      <c r="D38" s="7" t="n">
        <v>-1858</v>
      </c>
      <c r="E38" s="7" t="n">
        <v>-1050</v>
      </c>
      <c r="F38" s="25" t="inlineStr">
        <is>
          <t>-</t>
        </is>
      </c>
      <c r="G38" s="25" t="inlineStr">
        <is>
          <t>-</t>
        </is>
      </c>
      <c r="H38" s="25" t="inlineStr">
        <is>
          <t>-</t>
        </is>
      </c>
      <c r="I38" s="25" t="inlineStr">
        <is>
          <t>-</t>
        </is>
      </c>
      <c r="J38" s="25" t="inlineStr">
        <is>
          <t>-</t>
        </is>
      </c>
      <c r="K38" s="25" t="inlineStr">
        <is>
          <t>-</t>
        </is>
      </c>
      <c r="L38" s="25" t="inlineStr">
        <is>
          <t>-</t>
        </is>
      </c>
    </row>
    <row r="39" ht="18.5" customHeight="1">
      <c r="A39" s="6" t="inlineStr">
        <is>
          <t>Interest expense and other financial losses</t>
        </is>
      </c>
      <c r="B39" s="7" t="n">
        <v>-212</v>
      </c>
      <c r="C39" s="7" t="n">
        <v>-160</v>
      </c>
      <c r="D39" s="7" t="n">
        <v>-165</v>
      </c>
      <c r="E39" s="7" t="n">
        <v>-174</v>
      </c>
      <c r="F39" s="25" t="inlineStr">
        <is>
          <t>-</t>
        </is>
      </c>
      <c r="G39" s="25" t="inlineStr">
        <is>
          <t>-</t>
        </is>
      </c>
      <c r="H39" s="25" t="inlineStr">
        <is>
          <t>-</t>
        </is>
      </c>
      <c r="I39" s="25" t="inlineStr">
        <is>
          <t>-</t>
        </is>
      </c>
      <c r="J39" s="25" t="inlineStr">
        <is>
          <t>-</t>
        </is>
      </c>
      <c r="K39" s="25" t="inlineStr">
        <is>
          <t>-</t>
        </is>
      </c>
      <c r="L39" s="25" t="inlineStr">
        <is>
          <t>-</t>
        </is>
      </c>
    </row>
    <row r="40" ht="18.5" customHeight="1">
      <c r="A40" s="6" t="inlineStr">
        <is>
          <t>Foreign currency losses, net</t>
        </is>
      </c>
      <c r="B40" s="7" t="n">
        <v>-337</v>
      </c>
      <c r="C40" s="7" t="n">
        <v>-337</v>
      </c>
      <c r="D40" s="7" t="n">
        <v>-182</v>
      </c>
      <c r="E40" s="7" t="n">
        <v>-615</v>
      </c>
      <c r="F40" s="25" t="inlineStr">
        <is>
          <t>-</t>
        </is>
      </c>
      <c r="G40" s="25" t="inlineStr">
        <is>
          <t>-</t>
        </is>
      </c>
      <c r="H40" s="25" t="inlineStr">
        <is>
          <t>-</t>
        </is>
      </c>
      <c r="I40" s="25" t="inlineStr">
        <is>
          <t>-</t>
        </is>
      </c>
      <c r="J40" s="25" t="inlineStr">
        <is>
          <t>-</t>
        </is>
      </c>
      <c r="K40" s="25" t="inlineStr">
        <is>
          <t>-</t>
        </is>
      </c>
      <c r="L40" s="25" t="inlineStr">
        <is>
          <t>-</t>
        </is>
      </c>
    </row>
    <row r="41" ht="18.5" customHeight="1">
      <c r="A41" s="6" t="inlineStr">
        <is>
          <t>Equity in earnings of unconsolidated entity</t>
        </is>
      </c>
      <c r="B41" s="7" t="n">
        <v>-0</v>
      </c>
      <c r="C41" s="7" t="n">
        <v>-0</v>
      </c>
      <c r="D41" s="7" t="n">
        <v>-0</v>
      </c>
      <c r="E41" s="7" t="n">
        <v>3</v>
      </c>
      <c r="F41" s="25" t="inlineStr">
        <is>
          <t>-</t>
        </is>
      </c>
      <c r="G41" s="25" t="inlineStr">
        <is>
          <t>-</t>
        </is>
      </c>
      <c r="H41" s="25" t="inlineStr">
        <is>
          <t>-</t>
        </is>
      </c>
      <c r="I41" s="25" t="inlineStr">
        <is>
          <t>-</t>
        </is>
      </c>
      <c r="J41" s="25" t="inlineStr">
        <is>
          <t>-</t>
        </is>
      </c>
      <c r="K41" s="25" t="inlineStr">
        <is>
          <t>-</t>
        </is>
      </c>
      <c r="L41" s="25" t="inlineStr">
        <is>
          <t>-</t>
        </is>
      </c>
    </row>
    <row r="42" ht="10" customHeight="1"/>
    <row r="43" ht="22" customHeight="1">
      <c r="A43" s="18" t="inlineStr">
        <is>
          <t>INFORMACIÓN POR ACCIÓN NORMALIZADA (SPLIT-ADJUSTED)</t>
        </is>
      </c>
      <c r="B43" s="19" t="n"/>
      <c r="C43" s="19" t="n"/>
      <c r="D43" s="19" t="n"/>
      <c r="E43" s="19" t="n"/>
      <c r="F43" s="19" t="n"/>
      <c r="G43" s="19" t="n"/>
      <c r="H43" s="19" t="n"/>
      <c r="I43" s="19" t="n"/>
      <c r="J43" s="19" t="n"/>
      <c r="K43" s="19" t="n"/>
      <c r="L43" s="19" t="n"/>
    </row>
    <row r="44" ht="18.5" customHeight="1">
      <c r="A44" s="8" t="inlineStr">
        <is>
          <t xml:space="preserve">   BPA Diluido Normalizado (Split-Adjusted)</t>
        </is>
      </c>
      <c r="B44" s="14" t="n">
        <v>36.76</v>
      </c>
      <c r="C44" s="14" t="n">
        <v>39.4</v>
      </c>
      <c r="D44" s="14" t="n">
        <v>37.69</v>
      </c>
      <c r="E44" s="14" t="n">
        <v>19.46</v>
      </c>
      <c r="F44" s="14" t="n">
        <v>9.529999999999999</v>
      </c>
      <c r="G44" s="14" t="n">
        <v>1.67</v>
      </c>
      <c r="H44" s="14" t="n">
        <v>-0.08</v>
      </c>
      <c r="I44" s="14" t="n">
        <v>-3.71</v>
      </c>
      <c r="J44" s="14" t="n">
        <v>-0.82</v>
      </c>
      <c r="K44" s="14" t="n">
        <v>0.31</v>
      </c>
      <c r="L44" s="14" t="n">
        <v>3.09</v>
      </c>
    </row>
    <row r="45" ht="18.5" customHeight="1">
      <c r="A45" s="6" t="inlineStr">
        <is>
          <t xml:space="preserve">   Acciones Diluidas Ponderadas (Millones)</t>
        </is>
      </c>
      <c r="B45" s="17" t="n">
        <v>50.697299</v>
      </c>
      <c r="C45" s="17" t="n">
        <v>50.69732</v>
      </c>
      <c r="D45" s="17" t="n">
        <v>50.697428</v>
      </c>
      <c r="E45" s="17" t="n">
        <v>51.00686</v>
      </c>
      <c r="F45" s="17" t="n">
        <v>51.335621</v>
      </c>
      <c r="G45" s="17" t="n">
        <v>49.802993</v>
      </c>
      <c r="H45" s="17" t="n">
        <v>49.740407</v>
      </c>
      <c r="I45" s="17" t="n">
        <v>48.692906</v>
      </c>
      <c r="J45" s="17" t="n">
        <v>44.529614</v>
      </c>
      <c r="K45" s="17" t="n">
        <v>44.157364</v>
      </c>
      <c r="L45" s="17" t="n">
        <v>44.157251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2"/>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Balance Patrimonial Oficial</t>
        </is>
      </c>
    </row>
    <row r="2" ht="18" customHeight="1">
      <c r="A2" s="2" t="inlineStr">
        <is>
          <t>Cifras expresadas en Millones de USD ($M) | Estructura contable de Activos, Pasivos y Patrimonio</t>
        </is>
      </c>
    </row>
    <row r="3" ht="8" customHeight="1"/>
    <row r="4" ht="25" customHeight="1">
      <c r="A4" s="3" t="inlineStr">
        <is>
          <t>Concepto Patrimonial</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ASSETS</t>
        </is>
      </c>
      <c r="B5" s="19" t="n"/>
      <c r="C5" s="19" t="n"/>
      <c r="D5" s="19" t="n"/>
      <c r="E5" s="19" t="n"/>
      <c r="F5" s="19" t="n"/>
      <c r="G5" s="19" t="n"/>
      <c r="H5" s="19" t="n"/>
      <c r="I5" s="19" t="n"/>
      <c r="J5" s="19" t="n"/>
      <c r="K5" s="19" t="n"/>
      <c r="L5" s="19" t="n"/>
    </row>
    <row r="6" ht="18.5" customHeight="1">
      <c r="A6" s="26" t="inlineStr">
        <is>
          <t xml:space="preserve">   Assets</t>
        </is>
      </c>
      <c r="B6" s="27" t="n">
        <v>51356</v>
      </c>
      <c r="C6" s="27" t="n">
        <v>42667</v>
      </c>
      <c r="D6" s="27" t="n">
        <v>25196</v>
      </c>
      <c r="E6" s="27" t="n">
        <v>17646</v>
      </c>
      <c r="F6" s="27" t="n">
        <v>13736</v>
      </c>
      <c r="G6" s="27" t="n">
        <v>10101.158</v>
      </c>
      <c r="H6" s="27" t="n">
        <v>6526.332</v>
      </c>
      <c r="I6" s="27" t="n">
        <v>4781.691</v>
      </c>
      <c r="J6" s="27" t="n">
        <v>2239.519</v>
      </c>
      <c r="K6" s="27" t="n">
        <v>1673.187</v>
      </c>
      <c r="L6" s="27" t="n">
        <v>1367.435</v>
      </c>
    </row>
    <row r="7" ht="18.5" customHeight="1">
      <c r="A7" s="6" t="inlineStr">
        <is>
          <t xml:space="preserve">   Property, Plant and Equipment, Net</t>
        </is>
      </c>
      <c r="B7" s="7" t="n">
        <v>2303</v>
      </c>
      <c r="C7" s="7" t="n">
        <v>2303</v>
      </c>
      <c r="D7" s="7" t="n">
        <v>1380</v>
      </c>
      <c r="E7" s="7" t="n">
        <v>1250</v>
      </c>
      <c r="F7" s="7" t="n">
        <v>993</v>
      </c>
      <c r="G7" s="7" t="n">
        <v>807.367</v>
      </c>
      <c r="H7" s="7" t="n">
        <v>391.684</v>
      </c>
      <c r="I7" s="7" t="n">
        <v>244.257</v>
      </c>
      <c r="J7" s="7" t="n">
        <v>165.614</v>
      </c>
      <c r="K7" s="7" t="n">
        <v>114.837</v>
      </c>
      <c r="L7" s="7" t="n">
        <v>124.261</v>
      </c>
    </row>
    <row r="8" ht="18.5" customHeight="1">
      <c r="A8" s="6" t="inlineStr">
        <is>
          <t xml:space="preserve">   Goodwill</t>
        </is>
      </c>
      <c r="B8" s="7" t="n">
        <v>168</v>
      </c>
      <c r="C8" s="7" t="n">
        <v>163</v>
      </c>
      <c r="D8" s="7" t="n">
        <v>149</v>
      </c>
      <c r="E8" s="7" t="n">
        <v>163</v>
      </c>
      <c r="F8" s="7" t="n">
        <v>153</v>
      </c>
      <c r="G8" s="7" t="n">
        <v>148.243</v>
      </c>
      <c r="H8" s="7" t="n">
        <v>85.211</v>
      </c>
      <c r="I8" s="7" t="n">
        <v>87.60899999999999</v>
      </c>
      <c r="J8" s="7" t="n">
        <v>88.883</v>
      </c>
      <c r="K8" s="7" t="n">
        <v>92.279</v>
      </c>
      <c r="L8" s="7" t="n">
        <v>91.797</v>
      </c>
    </row>
    <row r="9" ht="18.5" customHeight="1">
      <c r="A9" s="12" t="inlineStr">
        <is>
          <t xml:space="preserve">   Intangible Assets, Net (Excluding Goodwill)</t>
        </is>
      </c>
      <c r="B9" s="13" t="n">
        <v>30</v>
      </c>
      <c r="C9" s="13" t="n">
        <v>33</v>
      </c>
      <c r="D9" s="13" t="n">
        <v>12</v>
      </c>
      <c r="E9" s="13" t="n">
        <v>11</v>
      </c>
      <c r="F9" s="13" t="n">
        <v>25</v>
      </c>
      <c r="G9" s="13" t="n">
        <v>44.974</v>
      </c>
      <c r="H9" s="13" t="n">
        <v>14.155</v>
      </c>
      <c r="I9" s="13" t="n">
        <v>14.275</v>
      </c>
      <c r="J9" s="13" t="n">
        <v>18.581</v>
      </c>
      <c r="K9" s="13" t="n">
        <v>23.174</v>
      </c>
      <c r="L9" s="13" t="n">
        <v>26.277</v>
      </c>
    </row>
    <row r="10" ht="22" customHeight="1">
      <c r="A10" s="18" t="inlineStr">
        <is>
          <t>Current assets:</t>
        </is>
      </c>
      <c r="B10" s="19" t="n"/>
      <c r="C10" s="19" t="n"/>
      <c r="D10" s="19" t="n"/>
      <c r="E10" s="19" t="n"/>
      <c r="F10" s="19" t="n"/>
      <c r="G10" s="19" t="n"/>
      <c r="H10" s="19" t="n"/>
      <c r="I10" s="19" t="n"/>
      <c r="J10" s="19" t="n"/>
      <c r="K10" s="19" t="n"/>
      <c r="L10" s="19" t="n"/>
    </row>
    <row r="11" ht="18.5" customHeight="1">
      <c r="A11" s="6" t="inlineStr">
        <is>
          <t xml:space="preserve">   Cash and Cash Equivalents, at Carrying Value</t>
        </is>
      </c>
      <c r="B11" s="7" t="n">
        <v>3649</v>
      </c>
      <c r="C11" s="7" t="n">
        <v>3670</v>
      </c>
      <c r="D11" s="7" t="n">
        <v>2635</v>
      </c>
      <c r="E11" s="7" t="n">
        <v>2556</v>
      </c>
      <c r="F11" s="7" t="n">
        <v>1910</v>
      </c>
      <c r="G11" s="7" t="n">
        <v>2584.586</v>
      </c>
      <c r="H11" s="7" t="n">
        <v>1856.394</v>
      </c>
      <c r="I11" s="7" t="n">
        <v>1384.74</v>
      </c>
      <c r="J11" s="7" t="n">
        <v>440.332</v>
      </c>
      <c r="K11" s="7" t="n">
        <v>388.26</v>
      </c>
      <c r="L11" s="7" t="n">
        <v>234.14</v>
      </c>
    </row>
    <row r="12" ht="18.5" customHeight="1">
      <c r="A12" s="6" t="inlineStr">
        <is>
          <t xml:space="preserve">   Accounts Receivable, after Allowance for Credit Loss, Current</t>
        </is>
      </c>
      <c r="B12" s="7" t="n">
        <v>418</v>
      </c>
      <c r="C12" s="7" t="n">
        <v>369</v>
      </c>
      <c r="D12" s="7" t="n">
        <v>255</v>
      </c>
      <c r="E12" s="7" t="n">
        <v>156</v>
      </c>
      <c r="F12" s="7" t="n">
        <v>130</v>
      </c>
      <c r="G12" s="7" t="n">
        <v>98.193</v>
      </c>
      <c r="H12" s="7" t="n">
        <v>49.691</v>
      </c>
      <c r="I12" s="7" t="n">
        <v>35.446</v>
      </c>
      <c r="J12" s="7" t="n">
        <v>35.153</v>
      </c>
      <c r="K12" s="7" t="n">
        <v>28.168</v>
      </c>
      <c r="L12" s="7" t="n">
        <v>25.435</v>
      </c>
    </row>
    <row r="13" ht="18.5" customHeight="1">
      <c r="A13" s="6" t="inlineStr">
        <is>
          <t xml:space="preserve">   Inventory, Net</t>
        </is>
      </c>
      <c r="B13" s="7" t="n">
        <v>822</v>
      </c>
      <c r="C13" s="7" t="n">
        <v>570</v>
      </c>
      <c r="D13" s="7" t="n">
        <v>296</v>
      </c>
      <c r="E13" s="7" t="n">
        <v>238</v>
      </c>
      <c r="F13" s="7" t="n">
        <v>152</v>
      </c>
      <c r="G13" s="7" t="n">
        <v>253.077</v>
      </c>
      <c r="H13" s="7" t="n">
        <v>118.14</v>
      </c>
      <c r="I13" s="7" t="n">
        <v>8.625999999999999</v>
      </c>
      <c r="J13" s="7" t="n">
        <v>4.612</v>
      </c>
      <c r="K13" s="7" t="n">
        <v>2.549</v>
      </c>
      <c r="L13" s="7" t="n">
        <v>1.103</v>
      </c>
    </row>
    <row r="14" ht="18.5" customHeight="1">
      <c r="A14" s="12" t="inlineStr">
        <is>
          <t xml:space="preserve">   Assets, Current</t>
        </is>
      </c>
      <c r="B14" s="13" t="n">
        <v>40782</v>
      </c>
      <c r="C14" s="13" t="n">
        <v>33573</v>
      </c>
      <c r="D14" s="13" t="n">
        <v>20142</v>
      </c>
      <c r="E14" s="13" t="n">
        <v>14294</v>
      </c>
      <c r="F14" s="13" t="n">
        <v>10953</v>
      </c>
      <c r="G14" s="13" t="n">
        <v>8174.979</v>
      </c>
      <c r="H14" s="13" t="n">
        <v>5346.807</v>
      </c>
      <c r="I14" s="13" t="n">
        <v>3788.856</v>
      </c>
      <c r="J14" s="13" t="n">
        <v>1511.123</v>
      </c>
      <c r="K14" s="13" t="n">
        <v>1286.919</v>
      </c>
      <c r="L14" s="13" t="n">
        <v>869.461</v>
      </c>
    </row>
    <row r="15" ht="18.5" customHeight="1">
      <c r="A15" s="6" t="inlineStr">
        <is>
          <t xml:space="preserve">   Operating Lease, Right-of-Use Asset</t>
        </is>
      </c>
      <c r="B15" s="7" t="n">
        <v>2560</v>
      </c>
      <c r="C15" s="7" t="n">
        <v>2201</v>
      </c>
      <c r="D15" s="7" t="n">
        <v>1098</v>
      </c>
      <c r="E15" s="7" t="n">
        <v>899</v>
      </c>
      <c r="F15" s="7" t="n">
        <v>656</v>
      </c>
      <c r="G15" s="7" t="n">
        <v>461.175</v>
      </c>
      <c r="H15" s="7" t="n">
        <v>303.214</v>
      </c>
      <c r="I15" s="7" t="n">
        <v>200.449</v>
      </c>
      <c r="J15" s="25" t="inlineStr">
        <is>
          <t>-</t>
        </is>
      </c>
      <c r="K15" s="25" t="inlineStr">
        <is>
          <t>-</t>
        </is>
      </c>
      <c r="L15" s="25" t="inlineStr">
        <is>
          <t>-</t>
        </is>
      </c>
    </row>
    <row r="16" ht="18.5" customHeight="1">
      <c r="A16" s="12" t="inlineStr">
        <is>
          <t xml:space="preserve">   Other Assets, Noncurrent</t>
        </is>
      </c>
      <c r="B16" s="13" t="n">
        <v>455</v>
      </c>
      <c r="C16" s="13" t="n">
        <v>426</v>
      </c>
      <c r="D16" s="13" t="n">
        <v>182</v>
      </c>
      <c r="E16" s="13" t="n">
        <v>68</v>
      </c>
      <c r="F16" s="13" t="n">
        <v>256</v>
      </c>
      <c r="G16" s="13" t="n">
        <v>133.545</v>
      </c>
      <c r="H16" s="13" t="n">
        <v>67.61499999999999</v>
      </c>
      <c r="I16" s="13" t="n">
        <v>58.241</v>
      </c>
      <c r="J16" s="13" t="n">
        <v>37.744</v>
      </c>
      <c r="K16" s="13" t="n">
        <v>63.934</v>
      </c>
      <c r="L16" s="13" t="n">
        <v>56.819</v>
      </c>
    </row>
    <row r="17" ht="22" customHeight="1">
      <c r="A17" s="18" t="inlineStr">
        <is>
          <t>LIABILITIES AND EQUITY</t>
        </is>
      </c>
      <c r="B17" s="19" t="n"/>
      <c r="C17" s="19" t="n"/>
      <c r="D17" s="19" t="n"/>
      <c r="E17" s="19" t="n"/>
      <c r="F17" s="19" t="n"/>
      <c r="G17" s="19" t="n"/>
      <c r="H17" s="19" t="n"/>
      <c r="I17" s="19" t="n"/>
      <c r="J17" s="19" t="n"/>
      <c r="K17" s="19" t="n"/>
      <c r="L17" s="19" t="n"/>
    </row>
    <row r="18" ht="18.5" customHeight="1">
      <c r="A18" s="12" t="inlineStr">
        <is>
          <t xml:space="preserve">   Liabilities</t>
        </is>
      </c>
      <c r="B18" s="13" t="n">
        <v>43522</v>
      </c>
      <c r="C18" s="13" t="n">
        <v>35919</v>
      </c>
      <c r="D18" s="13" t="n">
        <v>20845</v>
      </c>
      <c r="E18" s="13" t="n">
        <v>14575</v>
      </c>
      <c r="F18" s="13" t="n">
        <v>11909</v>
      </c>
      <c r="G18" s="13" t="n">
        <v>8569.467000000001</v>
      </c>
      <c r="H18" s="13" t="n">
        <v>4874.754</v>
      </c>
      <c r="I18" s="13" t="n">
        <v>2699.728</v>
      </c>
      <c r="J18" s="13" t="n">
        <v>1902.819</v>
      </c>
      <c r="K18" s="13" t="n">
        <v>1347.408</v>
      </c>
      <c r="L18" s="13" t="n">
        <v>938.581</v>
      </c>
    </row>
    <row r="19" ht="22" customHeight="1">
      <c r="A19" s="18" t="inlineStr">
        <is>
          <t>Stockholders’ equity:</t>
        </is>
      </c>
      <c r="B19" s="19" t="n"/>
      <c r="C19" s="19" t="n"/>
      <c r="D19" s="19" t="n"/>
      <c r="E19" s="19" t="n"/>
      <c r="F19" s="19" t="n"/>
      <c r="G19" s="19" t="n"/>
      <c r="H19" s="19" t="n"/>
      <c r="I19" s="19" t="n"/>
      <c r="J19" s="19" t="n"/>
      <c r="K19" s="19" t="n"/>
      <c r="L19" s="19" t="n"/>
    </row>
    <row r="20" ht="18.5" customHeight="1">
      <c r="A20" s="6" t="inlineStr">
        <is>
          <t xml:space="preserve">   Common Stock, Value, Issued</t>
        </is>
      </c>
      <c r="B20" s="7" t="n">
        <v>0</v>
      </c>
      <c r="C20" s="7" t="n">
        <v>0</v>
      </c>
      <c r="D20" s="7" t="n">
        <v>0</v>
      </c>
      <c r="E20" s="7" t="n">
        <v>0</v>
      </c>
      <c r="F20" s="7" t="n">
        <v>0</v>
      </c>
      <c r="G20" s="7" t="n">
        <v>0.05</v>
      </c>
      <c r="H20" s="7" t="n">
        <v>0.05</v>
      </c>
      <c r="I20" s="7" t="n">
        <v>0.05</v>
      </c>
      <c r="J20" s="7" t="n">
        <v>0.045</v>
      </c>
      <c r="K20" s="7" t="n">
        <v>0.044</v>
      </c>
      <c r="L20" s="7" t="n">
        <v>0.044</v>
      </c>
    </row>
    <row r="21" ht="18.5" customHeight="1">
      <c r="A21" s="6" t="inlineStr">
        <is>
          <t xml:space="preserve">   Additional Paid in Capital</t>
        </is>
      </c>
      <c r="B21" s="7" t="n">
        <v>1772</v>
      </c>
      <c r="C21" s="7" t="n">
        <v>1771</v>
      </c>
      <c r="D21" s="7" t="n">
        <v>1770</v>
      </c>
      <c r="E21" s="7" t="n">
        <v>1770</v>
      </c>
      <c r="F21" s="7" t="n">
        <v>2309</v>
      </c>
      <c r="G21" s="7" t="n">
        <v>2439.345</v>
      </c>
      <c r="H21" s="7" t="n">
        <v>1860.502</v>
      </c>
      <c r="I21" s="7" t="n">
        <v>2067.869</v>
      </c>
      <c r="J21" s="7" t="n">
        <v>224.8</v>
      </c>
      <c r="K21" s="7" t="n">
        <v>70.661</v>
      </c>
      <c r="L21" s="7" t="n">
        <v>137.982</v>
      </c>
    </row>
    <row r="22" ht="18.5" customHeight="1">
      <c r="A22" s="6" t="inlineStr">
        <is>
          <t xml:space="preserve">   Retained Earnings (Accumulated Deficit)</t>
        </is>
      </c>
      <c r="B22" s="7" t="n">
        <v>6692</v>
      </c>
      <c r="C22" s="7" t="n">
        <v>5809</v>
      </c>
      <c r="D22" s="7" t="n">
        <v>3812</v>
      </c>
      <c r="E22" s="7" t="n">
        <v>1901</v>
      </c>
      <c r="F22" s="7" t="n">
        <v>913</v>
      </c>
      <c r="G22" s="7" t="n">
        <v>397.419</v>
      </c>
      <c r="H22" s="7" t="n">
        <v>314.115</v>
      </c>
      <c r="I22" s="7" t="n">
        <v>322.592</v>
      </c>
      <c r="J22" s="7" t="n">
        <v>503.432</v>
      </c>
      <c r="K22" s="7" t="n">
        <v>537.925</v>
      </c>
      <c r="L22" s="7" t="n">
        <v>550.641</v>
      </c>
    </row>
    <row r="23" ht="18.5" customHeight="1">
      <c r="A23" s="6" t="inlineStr">
        <is>
          <t xml:space="preserve">   Accumulated Other Comprehensive Income (Loss), Net of Tax</t>
        </is>
      </c>
      <c r="B23" s="7" t="n">
        <v>-317</v>
      </c>
      <c r="C23" s="7" t="n">
        <v>-520</v>
      </c>
      <c r="D23" s="7" t="n">
        <v>-920</v>
      </c>
      <c r="E23" s="7" t="n">
        <v>-290</v>
      </c>
      <c r="F23" s="7" t="n">
        <v>-464</v>
      </c>
      <c r="G23" s="7" t="n">
        <v>-515.141</v>
      </c>
      <c r="H23" s="7" t="n">
        <v>-468.284</v>
      </c>
      <c r="I23" s="7" t="n">
        <v>-406.671</v>
      </c>
      <c r="J23" s="7" t="n">
        <v>-391.577</v>
      </c>
      <c r="K23" s="7" t="n">
        <v>-282.851</v>
      </c>
      <c r="L23" s="7" t="n">
        <v>-259.813</v>
      </c>
    </row>
    <row r="24" ht="18.5" customHeight="1">
      <c r="A24" s="12" t="inlineStr">
        <is>
          <t xml:space="preserve">   Stockholders' Equity Attributable to Parent</t>
        </is>
      </c>
      <c r="B24" s="13" t="n">
        <v>7834</v>
      </c>
      <c r="C24" s="13" t="n">
        <v>6748</v>
      </c>
      <c r="D24" s="13" t="n">
        <v>4351</v>
      </c>
      <c r="E24" s="13" t="n">
        <v>3071</v>
      </c>
      <c r="F24" s="13" t="n">
        <v>1827</v>
      </c>
      <c r="G24" s="13" t="n">
        <v>1531.691</v>
      </c>
      <c r="H24" s="13" t="n">
        <v>1651.578</v>
      </c>
      <c r="I24" s="13" t="n">
        <v>1983.12</v>
      </c>
      <c r="J24" s="13" t="n">
        <v>336.7</v>
      </c>
      <c r="K24" s="13" t="n">
        <v>325.779</v>
      </c>
      <c r="L24" s="13" t="n">
        <v>428.854</v>
      </c>
    </row>
    <row r="25" ht="18.5" customHeight="1">
      <c r="A25" s="26" t="inlineStr">
        <is>
          <t xml:space="preserve">   Liabilities and Equity</t>
        </is>
      </c>
      <c r="B25" s="27" t="n">
        <v>51356</v>
      </c>
      <c r="C25" s="27" t="n">
        <v>42667</v>
      </c>
      <c r="D25" s="27" t="n">
        <v>25196</v>
      </c>
      <c r="E25" s="27" t="n">
        <v>17646</v>
      </c>
      <c r="F25" s="27" t="n">
        <v>13736</v>
      </c>
      <c r="G25" s="27" t="n">
        <v>10101.158</v>
      </c>
      <c r="H25" s="27" t="n">
        <v>6526.332</v>
      </c>
      <c r="I25" s="27" t="n">
        <v>4781.691</v>
      </c>
      <c r="J25" s="27" t="n">
        <v>2239.519</v>
      </c>
      <c r="K25" s="27" t="n">
        <v>1673.187</v>
      </c>
      <c r="L25" s="27" t="n">
        <v>1367.435</v>
      </c>
    </row>
    <row r="26" ht="22" customHeight="1">
      <c r="A26" s="18" t="inlineStr">
        <is>
          <t>Current liabilities:</t>
        </is>
      </c>
      <c r="B26" s="19" t="n"/>
      <c r="C26" s="19" t="n"/>
      <c r="D26" s="19" t="n"/>
      <c r="E26" s="19" t="n"/>
      <c r="F26" s="19" t="n"/>
      <c r="G26" s="19" t="n"/>
      <c r="H26" s="19" t="n"/>
      <c r="I26" s="19" t="n"/>
      <c r="J26" s="19" t="n"/>
      <c r="K26" s="19" t="n"/>
      <c r="L26" s="19" t="n"/>
    </row>
    <row r="27" ht="18.5" customHeight="1">
      <c r="A27" s="12" t="inlineStr">
        <is>
          <t xml:space="preserve">   Liabilities, Current</t>
        </is>
      </c>
      <c r="B27" s="13" t="n">
        <v>36372</v>
      </c>
      <c r="C27" s="13" t="n">
        <v>28633</v>
      </c>
      <c r="D27" s="13" t="n">
        <v>16603</v>
      </c>
      <c r="E27" s="13" t="n">
        <v>11297</v>
      </c>
      <c r="F27" s="13" t="n">
        <v>8562</v>
      </c>
      <c r="G27" s="13" t="n">
        <v>5836.702</v>
      </c>
      <c r="H27" s="13" t="n">
        <v>3635.88</v>
      </c>
      <c r="I27" s="13" t="n">
        <v>1752.32</v>
      </c>
      <c r="J27" s="13" t="n">
        <v>1166.224</v>
      </c>
      <c r="K27" s="13" t="n">
        <v>968.032</v>
      </c>
      <c r="L27" s="13" t="n">
        <v>576.601</v>
      </c>
    </row>
    <row r="28" ht="18.5" customHeight="1">
      <c r="A28" s="6" t="inlineStr">
        <is>
          <t xml:space="preserve">   Operating Lease, Liability, Current</t>
        </is>
      </c>
      <c r="B28" s="7" t="n">
        <v>513</v>
      </c>
      <c r="C28" s="7" t="n">
        <v>430</v>
      </c>
      <c r="D28" s="7" t="n">
        <v>241</v>
      </c>
      <c r="E28" s="7" t="n">
        <v>166</v>
      </c>
      <c r="F28" s="7" t="n">
        <v>142</v>
      </c>
      <c r="G28" s="7" t="n">
        <v>92.343</v>
      </c>
      <c r="H28" s="7" t="n">
        <v>55.246</v>
      </c>
      <c r="I28" s="7" t="n">
        <v>23.259</v>
      </c>
      <c r="J28" s="25" t="inlineStr">
        <is>
          <t>-</t>
        </is>
      </c>
      <c r="K28" s="25" t="inlineStr">
        <is>
          <t>-</t>
        </is>
      </c>
      <c r="L28" s="25" t="inlineStr">
        <is>
          <t>-</t>
        </is>
      </c>
    </row>
    <row r="29" ht="18.5" customHeight="1">
      <c r="A29" s="6" t="inlineStr">
        <is>
          <t xml:space="preserve">   Operating Lease, Liability, Noncurrent</t>
        </is>
      </c>
      <c r="B29" s="7" t="n">
        <v>2037</v>
      </c>
      <c r="C29" s="7" t="n">
        <v>1769</v>
      </c>
      <c r="D29" s="7" t="n">
        <v>894</v>
      </c>
      <c r="E29" s="7" t="n">
        <v>672</v>
      </c>
      <c r="F29" s="7" t="n">
        <v>514</v>
      </c>
      <c r="G29" s="7" t="n">
        <v>371.614</v>
      </c>
      <c r="H29" s="7" t="n">
        <v>243.601</v>
      </c>
      <c r="I29" s="7" t="n">
        <v>176.673</v>
      </c>
      <c r="J29" s="25" t="inlineStr">
        <is>
          <t>-</t>
        </is>
      </c>
      <c r="K29" s="25" t="inlineStr">
        <is>
          <t>-</t>
        </is>
      </c>
      <c r="L29" s="25" t="inlineStr">
        <is>
          <t>-</t>
        </is>
      </c>
    </row>
    <row r="30" ht="18.5" customHeight="1">
      <c r="A30" s="12" t="inlineStr">
        <is>
          <t xml:space="preserve">   Deferred Income Tax Liabilities, Net</t>
        </is>
      </c>
      <c r="B30" s="13" t="n">
        <v>312</v>
      </c>
      <c r="C30" s="13" t="n">
        <v>372</v>
      </c>
      <c r="D30" s="13" t="n">
        <v>204</v>
      </c>
      <c r="E30" s="13" t="n">
        <v>183</v>
      </c>
      <c r="F30" s="13" t="n">
        <v>106</v>
      </c>
      <c r="G30" s="13" t="n">
        <v>62.496</v>
      </c>
      <c r="H30" s="13" t="n">
        <v>64.354</v>
      </c>
      <c r="I30" s="13" t="n">
        <v>99.952</v>
      </c>
      <c r="J30" s="28" t="inlineStr">
        <is>
          <t>-</t>
        </is>
      </c>
      <c r="K30" s="28" t="inlineStr">
        <is>
          <t>-</t>
        </is>
      </c>
      <c r="L30" s="28" t="inlineStr">
        <is>
          <t>-</t>
        </is>
      </c>
    </row>
    <row r="31" ht="18.5" customHeight="1">
      <c r="A31" s="12" t="inlineStr">
        <is>
          <t xml:space="preserve">   Other Liabilities, Noncurrent</t>
        </is>
      </c>
      <c r="B31" s="13" t="n">
        <v>469</v>
      </c>
      <c r="C31" s="13" t="n">
        <v>388</v>
      </c>
      <c r="D31" s="13" t="n">
        <v>216</v>
      </c>
      <c r="E31" s="13" t="n">
        <v>200</v>
      </c>
      <c r="F31" s="13" t="n">
        <v>95</v>
      </c>
      <c r="G31" s="13" t="n">
        <v>41.292</v>
      </c>
      <c r="H31" s="13" t="n">
        <v>20.191</v>
      </c>
      <c r="I31" s="13" t="n">
        <v>12.627</v>
      </c>
      <c r="J31" s="13" t="n">
        <v>19.508</v>
      </c>
      <c r="K31" s="13" t="n">
        <v>18.466</v>
      </c>
      <c r="L31" s="13" t="n">
        <v>9.808</v>
      </c>
    </row>
    <row r="32" ht="18.5" customHeight="1">
      <c r="A32" s="6" t="inlineStr">
        <is>
          <t xml:space="preserve">   Additional Financial Items</t>
        </is>
      </c>
      <c r="B32" s="25" t="inlineStr">
        <is>
          <t>-</t>
        </is>
      </c>
      <c r="C32" s="25" t="inlineStr">
        <is>
          <t>-</t>
        </is>
      </c>
      <c r="D32" s="25" t="inlineStr">
        <is>
          <t>-</t>
        </is>
      </c>
      <c r="E32" s="25" t="inlineStr">
        <is>
          <t>-</t>
        </is>
      </c>
      <c r="F32" s="25" t="inlineStr">
        <is>
          <t>-</t>
        </is>
      </c>
      <c r="G32" s="25" t="inlineStr">
        <is>
          <t>-</t>
        </is>
      </c>
      <c r="H32" s="25" t="inlineStr">
        <is>
          <t>-</t>
        </is>
      </c>
      <c r="I32" s="25" t="inlineStr">
        <is>
          <t>-</t>
        </is>
      </c>
      <c r="J32" s="25" t="inlineStr">
        <is>
          <t>-</t>
        </is>
      </c>
      <c r="K32" s="25" t="inlineStr">
        <is>
          <t>-</t>
        </is>
      </c>
      <c r="L32" s="25" t="inlineStr">
        <is>
          <t>-</t>
        </is>
      </c>
    </row>
    <row r="33" ht="18.5" customHeight="1">
      <c r="A33" s="6" t="inlineStr">
        <is>
          <t xml:space="preserve">   AOCI, Debt Securities, Available-for-sale, Adjustment, after Tax</t>
        </is>
      </c>
      <c r="B33" s="25" t="inlineStr">
        <is>
          <t>-</t>
        </is>
      </c>
      <c r="C33" s="25" t="inlineStr">
        <is>
          <t>-</t>
        </is>
      </c>
      <c r="D33" s="25" t="inlineStr">
        <is>
          <t>-</t>
        </is>
      </c>
      <c r="E33" s="25" t="inlineStr">
        <is>
          <t>-</t>
        </is>
      </c>
      <c r="F33" s="25" t="inlineStr">
        <is>
          <t>-</t>
        </is>
      </c>
      <c r="G33" s="25" t="inlineStr">
        <is>
          <t>-</t>
        </is>
      </c>
      <c r="H33" s="25" t="inlineStr">
        <is>
          <t>-</t>
        </is>
      </c>
      <c r="I33" s="7" t="n">
        <v>2.029</v>
      </c>
      <c r="J33" s="7" t="n">
        <v>3.345</v>
      </c>
      <c r="K33" s="7" t="n">
        <v>1.211</v>
      </c>
      <c r="L33" s="7" t="n">
        <v>-0.909</v>
      </c>
    </row>
    <row r="34" ht="18.5" customHeight="1">
      <c r="A34" s="6" t="inlineStr">
        <is>
          <t xml:space="preserve">   Cash, Cash Equivalents, and Short-term Investments</t>
        </is>
      </c>
      <c r="B34" s="25" t="inlineStr">
        <is>
          <t>-</t>
        </is>
      </c>
      <c r="C34" s="25" t="inlineStr">
        <is>
          <t>-</t>
        </is>
      </c>
      <c r="D34" s="25" t="inlineStr">
        <is>
          <t>-</t>
        </is>
      </c>
      <c r="E34" s="25" t="inlineStr">
        <is>
          <t>-</t>
        </is>
      </c>
      <c r="F34" s="25" t="inlineStr">
        <is>
          <t>-</t>
        </is>
      </c>
      <c r="G34" s="25" t="inlineStr">
        <is>
          <t>-</t>
        </is>
      </c>
      <c r="H34" s="7" t="n">
        <v>2460.751</v>
      </c>
      <c r="I34" s="25" t="inlineStr">
        <is>
          <t>-</t>
        </is>
      </c>
      <c r="J34" s="25" t="inlineStr">
        <is>
          <t>-</t>
        </is>
      </c>
      <c r="K34" s="25" t="inlineStr">
        <is>
          <t>-</t>
        </is>
      </c>
      <c r="L34" s="25" t="inlineStr">
        <is>
          <t>-</t>
        </is>
      </c>
    </row>
    <row r="35" ht="18.5" customHeight="1">
      <c r="A35" s="6" t="inlineStr">
        <is>
          <t xml:space="preserve">   Deferred Revenue, Current</t>
        </is>
      </c>
      <c r="B35" s="25" t="inlineStr">
        <is>
          <t>-</t>
        </is>
      </c>
      <c r="C35" s="25" t="inlineStr">
        <is>
          <t>-</t>
        </is>
      </c>
      <c r="D35" s="25" t="inlineStr">
        <is>
          <t>-</t>
        </is>
      </c>
      <c r="E35" s="7" t="n">
        <v>29</v>
      </c>
      <c r="F35" s="25" t="inlineStr">
        <is>
          <t>-</t>
        </is>
      </c>
      <c r="G35" s="25" t="inlineStr">
        <is>
          <t>-</t>
        </is>
      </c>
      <c r="H35" s="25" t="inlineStr">
        <is>
          <t>-</t>
        </is>
      </c>
      <c r="I35" s="25" t="inlineStr">
        <is>
          <t>-</t>
        </is>
      </c>
      <c r="J35" s="25" t="inlineStr">
        <is>
          <t>-</t>
        </is>
      </c>
      <c r="K35" s="25" t="inlineStr">
        <is>
          <t>-</t>
        </is>
      </c>
      <c r="L35" s="25" t="inlineStr">
        <is>
          <t>-</t>
        </is>
      </c>
    </row>
    <row r="36" ht="18.5" customHeight="1">
      <c r="A36" s="12" t="inlineStr">
        <is>
          <t xml:space="preserve">   Deferred Tax Liabilities, Net</t>
        </is>
      </c>
      <c r="B36" s="13" t="n">
        <v>452</v>
      </c>
      <c r="C36" s="13" t="n">
        <v>452</v>
      </c>
      <c r="D36" s="13" t="n">
        <v>261</v>
      </c>
      <c r="E36" s="13" t="n">
        <v>214</v>
      </c>
      <c r="F36" s="13" t="n">
        <v>158</v>
      </c>
      <c r="G36" s="13" t="n">
        <v>101.101</v>
      </c>
      <c r="H36" s="13" t="n">
        <v>83.736</v>
      </c>
      <c r="I36" s="13" t="n">
        <v>99.952</v>
      </c>
      <c r="J36" s="13" t="n">
        <v>91.69799999999999</v>
      </c>
      <c r="K36" s="28" t="inlineStr">
        <is>
          <t>-</t>
        </is>
      </c>
      <c r="L36" s="28" t="inlineStr">
        <is>
          <t>-</t>
        </is>
      </c>
    </row>
    <row r="37" ht="18.5" customHeight="1">
      <c r="A37" s="6" t="inlineStr">
        <is>
          <t xml:space="preserve">   Dividends Payable, Current</t>
        </is>
      </c>
      <c r="B37" s="25" t="inlineStr">
        <is>
          <t>-</t>
        </is>
      </c>
      <c r="C37" s="25" t="inlineStr">
        <is>
          <t>-</t>
        </is>
      </c>
      <c r="D37" s="25" t="inlineStr">
        <is>
          <t>-</t>
        </is>
      </c>
      <c r="E37" s="25" t="inlineStr">
        <is>
          <t>-</t>
        </is>
      </c>
      <c r="F37" s="25" t="inlineStr">
        <is>
          <t>-</t>
        </is>
      </c>
      <c r="G37" s="25" t="inlineStr">
        <is>
          <t>-</t>
        </is>
      </c>
      <c r="H37" s="25" t="inlineStr">
        <is>
          <t>-</t>
        </is>
      </c>
      <c r="I37" s="25" t="inlineStr">
        <is>
          <t>-</t>
        </is>
      </c>
      <c r="J37" s="25" t="inlineStr">
        <is>
          <t>-</t>
        </is>
      </c>
      <c r="K37" s="7" t="n">
        <v>6.624</v>
      </c>
      <c r="L37" s="7" t="n">
        <v>6.624</v>
      </c>
    </row>
    <row r="38" ht="18.5" customHeight="1">
      <c r="A38" s="6" t="inlineStr">
        <is>
          <t xml:space="preserve">   Dividends Payable</t>
        </is>
      </c>
      <c r="B38" s="25" t="inlineStr">
        <is>
          <t>-</t>
        </is>
      </c>
      <c r="C38" s="25" t="inlineStr">
        <is>
          <t>-</t>
        </is>
      </c>
      <c r="D38" s="25" t="inlineStr">
        <is>
          <t>-</t>
        </is>
      </c>
      <c r="E38" s="25" t="inlineStr">
        <is>
          <t>-</t>
        </is>
      </c>
      <c r="F38" s="25" t="inlineStr">
        <is>
          <t>-</t>
        </is>
      </c>
      <c r="G38" s="25" t="inlineStr">
        <is>
          <t>-</t>
        </is>
      </c>
      <c r="H38" s="25" t="inlineStr">
        <is>
          <t>-</t>
        </is>
      </c>
      <c r="I38" s="25" t="inlineStr">
        <is>
          <t>-</t>
        </is>
      </c>
      <c r="J38" s="25" t="inlineStr">
        <is>
          <t>-</t>
        </is>
      </c>
      <c r="K38" s="7" t="n">
        <v>26.496</v>
      </c>
      <c r="L38" s="25" t="inlineStr">
        <is>
          <t>-</t>
        </is>
      </c>
    </row>
    <row r="39" ht="18.5" customHeight="1">
      <c r="A39" s="6" t="inlineStr">
        <is>
          <t xml:space="preserve">   Long-term Debt</t>
        </is>
      </c>
      <c r="B39" s="7" t="n">
        <v>10626</v>
      </c>
      <c r="C39" s="7" t="n">
        <v>9193</v>
      </c>
      <c r="D39" s="7" t="n">
        <v>5715</v>
      </c>
      <c r="E39" s="7" t="n">
        <v>4495</v>
      </c>
      <c r="F39" s="7" t="n">
        <v>4758</v>
      </c>
      <c r="G39" s="25" t="inlineStr">
        <is>
          <t>-</t>
        </is>
      </c>
      <c r="H39" s="25" t="inlineStr">
        <is>
          <t>-</t>
        </is>
      </c>
      <c r="I39" s="25" t="inlineStr">
        <is>
          <t>-</t>
        </is>
      </c>
      <c r="J39" s="25" t="inlineStr">
        <is>
          <t>-</t>
        </is>
      </c>
      <c r="K39" s="25" t="inlineStr">
        <is>
          <t>-</t>
        </is>
      </c>
      <c r="L39" s="25" t="inlineStr">
        <is>
          <t>-</t>
        </is>
      </c>
    </row>
    <row r="40" ht="18.5" customHeight="1">
      <c r="A40" s="6" t="inlineStr">
        <is>
          <t xml:space="preserve">   Short-term Investments</t>
        </is>
      </c>
      <c r="B40" s="7" t="n">
        <v>2081</v>
      </c>
      <c r="C40" s="7" t="n">
        <v>2629</v>
      </c>
      <c r="D40" s="7" t="n">
        <v>4485</v>
      </c>
      <c r="E40" s="7" t="n">
        <v>3480</v>
      </c>
      <c r="F40" s="7" t="n">
        <v>2339</v>
      </c>
      <c r="G40" s="7" t="n">
        <v>809.522</v>
      </c>
      <c r="H40" s="7" t="n">
        <v>1241.306</v>
      </c>
      <c r="I40" s="7" t="n">
        <v>1597.241</v>
      </c>
      <c r="J40" s="7" t="n">
        <v>461.541</v>
      </c>
      <c r="K40" s="7" t="n">
        <v>209.432</v>
      </c>
      <c r="L40" s="7" t="n">
        <v>253.321</v>
      </c>
    </row>
    <row r="41" ht="18.5" customHeight="1">
      <c r="A41" s="6" t="inlineStr">
        <is>
          <t xml:space="preserve">   Restricted cash and cash equivalents</t>
        </is>
      </c>
      <c r="B41" s="7" t="n">
        <v>9867</v>
      </c>
      <c r="C41" s="7" t="n">
        <v>9867</v>
      </c>
      <c r="D41" s="7" t="n">
        <v>2064</v>
      </c>
      <c r="E41" s="25" t="inlineStr">
        <is>
          <t>-</t>
        </is>
      </c>
      <c r="F41" s="25" t="inlineStr">
        <is>
          <t>-</t>
        </is>
      </c>
      <c r="G41" s="25" t="inlineStr">
        <is>
          <t>-</t>
        </is>
      </c>
      <c r="H41" s="25" t="inlineStr">
        <is>
          <t>-</t>
        </is>
      </c>
      <c r="I41" s="25" t="inlineStr">
        <is>
          <t>-</t>
        </is>
      </c>
      <c r="J41" s="25" t="inlineStr">
        <is>
          <t>-</t>
        </is>
      </c>
      <c r="K41" s="25" t="inlineStr">
        <is>
          <t>-</t>
        </is>
      </c>
      <c r="L41" s="25" t="inlineStr">
        <is>
          <t>-</t>
        </is>
      </c>
    </row>
    <row r="42" ht="18.5" customHeight="1">
      <c r="A42" s="6" t="inlineStr">
        <is>
          <t xml:space="preserve">   Credit card receivables and other means of payments, net</t>
        </is>
      </c>
      <c r="B42" s="7" t="n">
        <v>6893</v>
      </c>
      <c r="C42" s="7" t="n">
        <v>6893</v>
      </c>
      <c r="D42" s="7" t="n">
        <v>5288</v>
      </c>
      <c r="E42" s="25" t="inlineStr">
        <is>
          <t>-</t>
        </is>
      </c>
      <c r="F42" s="25" t="inlineStr">
        <is>
          <t>-</t>
        </is>
      </c>
      <c r="G42" s="25" t="inlineStr">
        <is>
          <t>-</t>
        </is>
      </c>
      <c r="H42" s="25" t="inlineStr">
        <is>
          <t>-</t>
        </is>
      </c>
      <c r="I42" s="25" t="inlineStr">
        <is>
          <t>-</t>
        </is>
      </c>
      <c r="J42" s="25" t="inlineStr">
        <is>
          <t>-</t>
        </is>
      </c>
      <c r="K42" s="25" t="inlineStr">
        <is>
          <t>-</t>
        </is>
      </c>
      <c r="L42" s="25" t="inlineStr">
        <is>
          <t>-</t>
        </is>
      </c>
    </row>
    <row r="43" ht="18.5" customHeight="1">
      <c r="A43" s="6" t="inlineStr">
        <is>
          <t xml:space="preserve">   Loans receivable, net of allowances of $3,057 and $1,630 (Note 5)</t>
        </is>
      </c>
      <c r="B43" s="7" t="n">
        <v>8855</v>
      </c>
      <c r="C43" s="7" t="n">
        <v>8855</v>
      </c>
      <c r="D43" s="7" t="n">
        <v>4716</v>
      </c>
      <c r="E43" s="25" t="inlineStr">
        <is>
          <t>-</t>
        </is>
      </c>
      <c r="F43" s="25" t="inlineStr">
        <is>
          <t>-</t>
        </is>
      </c>
      <c r="G43" s="25" t="inlineStr">
        <is>
          <t>-</t>
        </is>
      </c>
      <c r="H43" s="25" t="inlineStr">
        <is>
          <t>-</t>
        </is>
      </c>
      <c r="I43" s="25" t="inlineStr">
        <is>
          <t>-</t>
        </is>
      </c>
      <c r="J43" s="25" t="inlineStr">
        <is>
          <t>-</t>
        </is>
      </c>
      <c r="K43" s="25" t="inlineStr">
        <is>
          <t>-</t>
        </is>
      </c>
      <c r="L43" s="25" t="inlineStr">
        <is>
          <t>-</t>
        </is>
      </c>
    </row>
    <row r="44" ht="18.5" customHeight="1">
      <c r="A44" s="12" t="inlineStr">
        <is>
          <t xml:space="preserve">   Other assets</t>
        </is>
      </c>
      <c r="B44" s="13" t="n">
        <v>720</v>
      </c>
      <c r="C44" s="13" t="n">
        <v>720</v>
      </c>
      <c r="D44" s="13" t="n">
        <v>403</v>
      </c>
      <c r="E44" s="28" t="inlineStr">
        <is>
          <t>-</t>
        </is>
      </c>
      <c r="F44" s="28" t="inlineStr">
        <is>
          <t>-</t>
        </is>
      </c>
      <c r="G44" s="28" t="inlineStr">
        <is>
          <t>-</t>
        </is>
      </c>
      <c r="H44" s="28" t="inlineStr">
        <is>
          <t>-</t>
        </is>
      </c>
      <c r="I44" s="28" t="inlineStr">
        <is>
          <t>-</t>
        </is>
      </c>
      <c r="J44" s="28" t="inlineStr">
        <is>
          <t>-</t>
        </is>
      </c>
      <c r="K44" s="28" t="inlineStr">
        <is>
          <t>-</t>
        </is>
      </c>
      <c r="L44" s="28" t="inlineStr">
        <is>
          <t>-</t>
        </is>
      </c>
    </row>
    <row r="45" ht="18.5" customHeight="1">
      <c r="A45" s="6" t="inlineStr">
        <is>
          <t xml:space="preserve">   Long-term investments</t>
        </is>
      </c>
      <c r="B45" s="7" t="n">
        <v>1764</v>
      </c>
      <c r="C45" s="7" t="n">
        <v>1764</v>
      </c>
      <c r="D45" s="7" t="n">
        <v>1203</v>
      </c>
      <c r="E45" s="25" t="inlineStr">
        <is>
          <t>-</t>
        </is>
      </c>
      <c r="F45" s="25" t="inlineStr">
        <is>
          <t>-</t>
        </is>
      </c>
      <c r="G45" s="25" t="inlineStr">
        <is>
          <t>-</t>
        </is>
      </c>
      <c r="H45" s="25" t="inlineStr">
        <is>
          <t>-</t>
        </is>
      </c>
      <c r="I45" s="25" t="inlineStr">
        <is>
          <t>-</t>
        </is>
      </c>
      <c r="J45" s="25" t="inlineStr">
        <is>
          <t>-</t>
        </is>
      </c>
      <c r="K45" s="25" t="inlineStr">
        <is>
          <t>-</t>
        </is>
      </c>
      <c r="L45" s="25" t="inlineStr">
        <is>
          <t>-</t>
        </is>
      </c>
    </row>
    <row r="46" ht="18.5" customHeight="1">
      <c r="A46" s="6" t="inlineStr">
        <is>
          <t xml:space="preserve">   Credit card receivables and other means of payments, net</t>
        </is>
      </c>
      <c r="B46" s="7" t="n">
        <v>153</v>
      </c>
      <c r="C46" s="7" t="n">
        <v>153</v>
      </c>
      <c r="D46" s="7" t="n">
        <v>0</v>
      </c>
      <c r="E46" s="25" t="inlineStr">
        <is>
          <t>-</t>
        </is>
      </c>
      <c r="F46" s="25" t="inlineStr">
        <is>
          <t>-</t>
        </is>
      </c>
      <c r="G46" s="25" t="inlineStr">
        <is>
          <t>-</t>
        </is>
      </c>
      <c r="H46" s="25" t="inlineStr">
        <is>
          <t>-</t>
        </is>
      </c>
      <c r="I46" s="25" t="inlineStr">
        <is>
          <t>-</t>
        </is>
      </c>
      <c r="J46" s="25" t="inlineStr">
        <is>
          <t>-</t>
        </is>
      </c>
      <c r="K46" s="25" t="inlineStr">
        <is>
          <t>-</t>
        </is>
      </c>
      <c r="L46" s="25" t="inlineStr">
        <is>
          <t>-</t>
        </is>
      </c>
    </row>
    <row r="47" ht="18.5" customHeight="1">
      <c r="A47" s="6" t="inlineStr">
        <is>
          <t xml:space="preserve">   Loans receivable, net of allowances of $86 and $48 (Note 5)</t>
        </is>
      </c>
      <c r="B47" s="7" t="n">
        <v>510</v>
      </c>
      <c r="C47" s="7" t="n">
        <v>510</v>
      </c>
      <c r="D47" s="7" t="n">
        <v>179</v>
      </c>
      <c r="E47" s="25" t="inlineStr">
        <is>
          <t>-</t>
        </is>
      </c>
      <c r="F47" s="25" t="inlineStr">
        <is>
          <t>-</t>
        </is>
      </c>
      <c r="G47" s="25" t="inlineStr">
        <is>
          <t>-</t>
        </is>
      </c>
      <c r="H47" s="25" t="inlineStr">
        <is>
          <t>-</t>
        </is>
      </c>
      <c r="I47" s="25" t="inlineStr">
        <is>
          <t>-</t>
        </is>
      </c>
      <c r="J47" s="25" t="inlineStr">
        <is>
          <t>-</t>
        </is>
      </c>
      <c r="K47" s="25" t="inlineStr">
        <is>
          <t>-</t>
        </is>
      </c>
      <c r="L47" s="25" t="inlineStr">
        <is>
          <t>-</t>
        </is>
      </c>
    </row>
    <row r="48" ht="18.5" customHeight="1">
      <c r="A48" s="6" t="inlineStr">
        <is>
          <t xml:space="preserve">   Property and equipment, net</t>
        </is>
      </c>
      <c r="B48" s="7" t="n">
        <v>2303</v>
      </c>
      <c r="C48" s="7" t="n">
        <v>2303</v>
      </c>
      <c r="D48" s="7" t="n">
        <v>1380</v>
      </c>
      <c r="E48" s="25" t="inlineStr">
        <is>
          <t>-</t>
        </is>
      </c>
      <c r="F48" s="25" t="inlineStr">
        <is>
          <t>-</t>
        </is>
      </c>
      <c r="G48" s="25" t="inlineStr">
        <is>
          <t>-</t>
        </is>
      </c>
      <c r="H48" s="25" t="inlineStr">
        <is>
          <t>-</t>
        </is>
      </c>
      <c r="I48" s="25" t="inlineStr">
        <is>
          <t>-</t>
        </is>
      </c>
      <c r="J48" s="25" t="inlineStr">
        <is>
          <t>-</t>
        </is>
      </c>
      <c r="K48" s="25" t="inlineStr">
        <is>
          <t>-</t>
        </is>
      </c>
      <c r="L48" s="25" t="inlineStr">
        <is>
          <t>-</t>
        </is>
      </c>
    </row>
    <row r="49" ht="18.5" customHeight="1">
      <c r="A49" s="6" t="inlineStr">
        <is>
          <t xml:space="preserve">   Intangible assets at fair value</t>
        </is>
      </c>
      <c r="B49" s="7" t="n">
        <v>0</v>
      </c>
      <c r="C49" s="7" t="n">
        <v>0</v>
      </c>
      <c r="D49" s="7" t="n">
        <v>49</v>
      </c>
      <c r="E49" s="25" t="inlineStr">
        <is>
          <t>-</t>
        </is>
      </c>
      <c r="F49" s="25" t="inlineStr">
        <is>
          <t>-</t>
        </is>
      </c>
      <c r="G49" s="25" t="inlineStr">
        <is>
          <t>-</t>
        </is>
      </c>
      <c r="H49" s="25" t="inlineStr">
        <is>
          <t>-</t>
        </is>
      </c>
      <c r="I49" s="25" t="inlineStr">
        <is>
          <t>-</t>
        </is>
      </c>
      <c r="J49" s="25" t="inlineStr">
        <is>
          <t>-</t>
        </is>
      </c>
      <c r="K49" s="25" t="inlineStr">
        <is>
          <t>-</t>
        </is>
      </c>
      <c r="L49" s="25" t="inlineStr">
        <is>
          <t>-</t>
        </is>
      </c>
    </row>
    <row r="50" ht="18.5" customHeight="1">
      <c r="A50" s="12" t="inlineStr">
        <is>
          <t xml:space="preserve">   Deferred tax assets</t>
        </is>
      </c>
      <c r="B50" s="13" t="n">
        <v>1541</v>
      </c>
      <c r="C50" s="13" t="n">
        <v>1541</v>
      </c>
      <c r="D50" s="13" t="n">
        <v>802</v>
      </c>
      <c r="E50" s="28" t="inlineStr">
        <is>
          <t>-</t>
        </is>
      </c>
      <c r="F50" s="28" t="inlineStr">
        <is>
          <t>-</t>
        </is>
      </c>
      <c r="G50" s="28" t="inlineStr">
        <is>
          <t>-</t>
        </is>
      </c>
      <c r="H50" s="28" t="inlineStr">
        <is>
          <t>-</t>
        </is>
      </c>
      <c r="I50" s="28" t="inlineStr">
        <is>
          <t>-</t>
        </is>
      </c>
      <c r="J50" s="28" t="inlineStr">
        <is>
          <t>-</t>
        </is>
      </c>
      <c r="K50" s="28" t="inlineStr">
        <is>
          <t>-</t>
        </is>
      </c>
      <c r="L50" s="28" t="inlineStr">
        <is>
          <t>-</t>
        </is>
      </c>
    </row>
    <row r="51" ht="18.5" customHeight="1">
      <c r="A51" s="12" t="inlineStr">
        <is>
          <t xml:space="preserve">   Total non-current assets</t>
        </is>
      </c>
      <c r="B51" s="13" t="n">
        <v>9094</v>
      </c>
      <c r="C51" s="13" t="n">
        <v>9094</v>
      </c>
      <c r="D51" s="13" t="n">
        <v>5054</v>
      </c>
      <c r="E51" s="28" t="inlineStr">
        <is>
          <t>-</t>
        </is>
      </c>
      <c r="F51" s="28" t="inlineStr">
        <is>
          <t>-</t>
        </is>
      </c>
      <c r="G51" s="28" t="inlineStr">
        <is>
          <t>-</t>
        </is>
      </c>
      <c r="H51" s="28" t="inlineStr">
        <is>
          <t>-</t>
        </is>
      </c>
      <c r="I51" s="28" t="inlineStr">
        <is>
          <t>-</t>
        </is>
      </c>
      <c r="J51" s="28" t="inlineStr">
        <is>
          <t>-</t>
        </is>
      </c>
      <c r="K51" s="28" t="inlineStr">
        <is>
          <t>-</t>
        </is>
      </c>
      <c r="L51" s="28" t="inlineStr">
        <is>
          <t>-</t>
        </is>
      </c>
    </row>
    <row r="52" ht="18.5" customHeight="1">
      <c r="A52" s="12" t="inlineStr">
        <is>
          <t xml:space="preserve">   Accounts payable and accrued expenses</t>
        </is>
      </c>
      <c r="B52" s="13" t="n">
        <v>4502</v>
      </c>
      <c r="C52" s="13" t="n">
        <v>4502</v>
      </c>
      <c r="D52" s="13" t="n">
        <v>3196</v>
      </c>
      <c r="E52" s="28" t="inlineStr">
        <is>
          <t>-</t>
        </is>
      </c>
      <c r="F52" s="28" t="inlineStr">
        <is>
          <t>-</t>
        </is>
      </c>
      <c r="G52" s="28" t="inlineStr">
        <is>
          <t>-</t>
        </is>
      </c>
      <c r="H52" s="28" t="inlineStr">
        <is>
          <t>-</t>
        </is>
      </c>
      <c r="I52" s="28" t="inlineStr">
        <is>
          <t>-</t>
        </is>
      </c>
      <c r="J52" s="28" t="inlineStr">
        <is>
          <t>-</t>
        </is>
      </c>
      <c r="K52" s="28" t="inlineStr">
        <is>
          <t>-</t>
        </is>
      </c>
      <c r="L52" s="28" t="inlineStr">
        <is>
          <t>-</t>
        </is>
      </c>
    </row>
    <row r="53" ht="18.5" customHeight="1">
      <c r="A53" s="6" t="inlineStr">
        <is>
          <t xml:space="preserve">   Funds payable to customers</t>
        </is>
      </c>
      <c r="B53" s="7" t="n">
        <v>13029</v>
      </c>
      <c r="C53" s="7" t="n">
        <v>13029</v>
      </c>
      <c r="D53" s="7" t="n">
        <v>6954</v>
      </c>
      <c r="E53" s="25" t="inlineStr">
        <is>
          <t>-</t>
        </is>
      </c>
      <c r="F53" s="25" t="inlineStr">
        <is>
          <t>-</t>
        </is>
      </c>
      <c r="G53" s="25" t="inlineStr">
        <is>
          <t>-</t>
        </is>
      </c>
      <c r="H53" s="25" t="inlineStr">
        <is>
          <t>-</t>
        </is>
      </c>
      <c r="I53" s="25" t="inlineStr">
        <is>
          <t>-</t>
        </is>
      </c>
      <c r="J53" s="25" t="inlineStr">
        <is>
          <t>-</t>
        </is>
      </c>
      <c r="K53" s="25" t="inlineStr">
        <is>
          <t>-</t>
        </is>
      </c>
      <c r="L53" s="25" t="inlineStr">
        <is>
          <t>-</t>
        </is>
      </c>
    </row>
    <row r="54" ht="18.5" customHeight="1">
      <c r="A54" s="6" t="inlineStr">
        <is>
          <t xml:space="preserve">   Amounts payable due to credit and debit card transactions</t>
        </is>
      </c>
      <c r="B54" s="7" t="n">
        <v>3584</v>
      </c>
      <c r="C54" s="7" t="n">
        <v>3584</v>
      </c>
      <c r="D54" s="7" t="n">
        <v>1923</v>
      </c>
      <c r="E54" s="25" t="inlineStr">
        <is>
          <t>-</t>
        </is>
      </c>
      <c r="F54" s="25" t="inlineStr">
        <is>
          <t>-</t>
        </is>
      </c>
      <c r="G54" s="25" t="inlineStr">
        <is>
          <t>-</t>
        </is>
      </c>
      <c r="H54" s="25" t="inlineStr">
        <is>
          <t>-</t>
        </is>
      </c>
      <c r="I54" s="25" t="inlineStr">
        <is>
          <t>-</t>
        </is>
      </c>
      <c r="J54" s="25" t="inlineStr">
        <is>
          <t>-</t>
        </is>
      </c>
      <c r="K54" s="25" t="inlineStr">
        <is>
          <t>-</t>
        </is>
      </c>
      <c r="L54" s="25" t="inlineStr">
        <is>
          <t>-</t>
        </is>
      </c>
    </row>
    <row r="55" ht="18.5" customHeight="1">
      <c r="A55" s="12" t="inlineStr">
        <is>
          <t xml:space="preserve">   Salaries and social security payable</t>
        </is>
      </c>
      <c r="B55" s="13" t="n">
        <v>916</v>
      </c>
      <c r="C55" s="13" t="n">
        <v>916</v>
      </c>
      <c r="D55" s="13" t="n">
        <v>727</v>
      </c>
      <c r="E55" s="28" t="inlineStr">
        <is>
          <t>-</t>
        </is>
      </c>
      <c r="F55" s="28" t="inlineStr">
        <is>
          <t>-</t>
        </is>
      </c>
      <c r="G55" s="28" t="inlineStr">
        <is>
          <t>-</t>
        </is>
      </c>
      <c r="H55" s="28" t="inlineStr">
        <is>
          <t>-</t>
        </is>
      </c>
      <c r="I55" s="28" t="inlineStr">
        <is>
          <t>-</t>
        </is>
      </c>
      <c r="J55" s="28" t="inlineStr">
        <is>
          <t>-</t>
        </is>
      </c>
      <c r="K55" s="28" t="inlineStr">
        <is>
          <t>-</t>
        </is>
      </c>
      <c r="L55" s="28" t="inlineStr">
        <is>
          <t>-</t>
        </is>
      </c>
    </row>
    <row r="56" ht="18.5" customHeight="1">
      <c r="A56" s="6" t="inlineStr">
        <is>
          <t xml:space="preserve">   Taxes payable</t>
        </is>
      </c>
      <c r="B56" s="7" t="n">
        <v>1140</v>
      </c>
      <c r="C56" s="7" t="n">
        <v>1140</v>
      </c>
      <c r="D56" s="7" t="n">
        <v>525</v>
      </c>
      <c r="E56" s="25" t="inlineStr">
        <is>
          <t>-</t>
        </is>
      </c>
      <c r="F56" s="25" t="inlineStr">
        <is>
          <t>-</t>
        </is>
      </c>
      <c r="G56" s="25" t="inlineStr">
        <is>
          <t>-</t>
        </is>
      </c>
      <c r="H56" s="25" t="inlineStr">
        <is>
          <t>-</t>
        </is>
      </c>
      <c r="I56" s="25" t="inlineStr">
        <is>
          <t>-</t>
        </is>
      </c>
      <c r="J56" s="25" t="inlineStr">
        <is>
          <t>-</t>
        </is>
      </c>
      <c r="K56" s="25" t="inlineStr">
        <is>
          <t>-</t>
        </is>
      </c>
      <c r="L56" s="25" t="inlineStr">
        <is>
          <t>-</t>
        </is>
      </c>
    </row>
    <row r="57" ht="18.5" customHeight="1">
      <c r="A57" s="6" t="inlineStr">
        <is>
          <t xml:space="preserve">   Loans payable and other financial liabilities</t>
        </is>
      </c>
      <c r="B57" s="7" t="n">
        <v>4623</v>
      </c>
      <c r="C57" s="7" t="n">
        <v>4623</v>
      </c>
      <c r="D57" s="7" t="n">
        <v>2828</v>
      </c>
      <c r="E57" s="25" t="inlineStr">
        <is>
          <t>-</t>
        </is>
      </c>
      <c r="F57" s="25" t="inlineStr">
        <is>
          <t>-</t>
        </is>
      </c>
      <c r="G57" s="25" t="inlineStr">
        <is>
          <t>-</t>
        </is>
      </c>
      <c r="H57" s="25" t="inlineStr">
        <is>
          <t>-</t>
        </is>
      </c>
      <c r="I57" s="25" t="inlineStr">
        <is>
          <t>-</t>
        </is>
      </c>
      <c r="J57" s="25" t="inlineStr">
        <is>
          <t>-</t>
        </is>
      </c>
      <c r="K57" s="25" t="inlineStr">
        <is>
          <t>-</t>
        </is>
      </c>
      <c r="L57" s="25" t="inlineStr">
        <is>
          <t>-</t>
        </is>
      </c>
    </row>
    <row r="58" ht="18.5" customHeight="1">
      <c r="A58" s="12" t="inlineStr">
        <is>
          <t xml:space="preserve">   Other liabilities</t>
        </is>
      </c>
      <c r="B58" s="13" t="n">
        <v>409</v>
      </c>
      <c r="C58" s="13" t="n">
        <v>409</v>
      </c>
      <c r="D58" s="13" t="n">
        <v>209</v>
      </c>
      <c r="E58" s="28" t="inlineStr">
        <is>
          <t>-</t>
        </is>
      </c>
      <c r="F58" s="28" t="inlineStr">
        <is>
          <t>-</t>
        </is>
      </c>
      <c r="G58" s="28" t="inlineStr">
        <is>
          <t>-</t>
        </is>
      </c>
      <c r="H58" s="28" t="inlineStr">
        <is>
          <t>-</t>
        </is>
      </c>
      <c r="I58" s="28" t="inlineStr">
        <is>
          <t>-</t>
        </is>
      </c>
      <c r="J58" s="28" t="inlineStr">
        <is>
          <t>-</t>
        </is>
      </c>
      <c r="K58" s="28" t="inlineStr">
        <is>
          <t>-</t>
        </is>
      </c>
      <c r="L58" s="28" t="inlineStr">
        <is>
          <t>-</t>
        </is>
      </c>
    </row>
    <row r="59" ht="18.5" customHeight="1">
      <c r="A59" s="6" t="inlineStr">
        <is>
          <t xml:space="preserve">   Amounts payable due to credit and debit card transactions</t>
        </is>
      </c>
      <c r="B59" s="7" t="n">
        <v>187</v>
      </c>
      <c r="C59" s="7" t="n">
        <v>187</v>
      </c>
      <c r="D59" s="7" t="n">
        <v>41</v>
      </c>
      <c r="E59" s="25" t="inlineStr">
        <is>
          <t>-</t>
        </is>
      </c>
      <c r="F59" s="25" t="inlineStr">
        <is>
          <t>-</t>
        </is>
      </c>
      <c r="G59" s="25" t="inlineStr">
        <is>
          <t>-</t>
        </is>
      </c>
      <c r="H59" s="25" t="inlineStr">
        <is>
          <t>-</t>
        </is>
      </c>
      <c r="I59" s="25" t="inlineStr">
        <is>
          <t>-</t>
        </is>
      </c>
      <c r="J59" s="25" t="inlineStr">
        <is>
          <t>-</t>
        </is>
      </c>
      <c r="K59" s="25" t="inlineStr">
        <is>
          <t>-</t>
        </is>
      </c>
      <c r="L59" s="25" t="inlineStr">
        <is>
          <t>-</t>
        </is>
      </c>
    </row>
    <row r="60" ht="18.5" customHeight="1">
      <c r="A60" s="6" t="inlineStr">
        <is>
          <t xml:space="preserve">   Loans payable and other financial liabilities</t>
        </is>
      </c>
      <c r="B60" s="7" t="n">
        <v>4570</v>
      </c>
      <c r="C60" s="7" t="n">
        <v>4570</v>
      </c>
      <c r="D60" s="7" t="n">
        <v>2887</v>
      </c>
      <c r="E60" s="25" t="inlineStr">
        <is>
          <t>-</t>
        </is>
      </c>
      <c r="F60" s="25" t="inlineStr">
        <is>
          <t>-</t>
        </is>
      </c>
      <c r="G60" s="25" t="inlineStr">
        <is>
          <t>-</t>
        </is>
      </c>
      <c r="H60" s="25" t="inlineStr">
        <is>
          <t>-</t>
        </is>
      </c>
      <c r="I60" s="25" t="inlineStr">
        <is>
          <t>-</t>
        </is>
      </c>
      <c r="J60" s="25" t="inlineStr">
        <is>
          <t>-</t>
        </is>
      </c>
      <c r="K60" s="25" t="inlineStr">
        <is>
          <t>-</t>
        </is>
      </c>
      <c r="L60" s="25" t="inlineStr">
        <is>
          <t>-</t>
        </is>
      </c>
    </row>
    <row r="61" ht="18.5" customHeight="1">
      <c r="A61" s="12" t="inlineStr">
        <is>
          <t xml:space="preserve">   Total non-current liabilities</t>
        </is>
      </c>
      <c r="B61" s="13" t="n">
        <v>7286</v>
      </c>
      <c r="C61" s="13" t="n">
        <v>7286</v>
      </c>
      <c r="D61" s="13" t="n">
        <v>4242</v>
      </c>
      <c r="E61" s="28" t="inlineStr">
        <is>
          <t>-</t>
        </is>
      </c>
      <c r="F61" s="28" t="inlineStr">
        <is>
          <t>-</t>
        </is>
      </c>
      <c r="G61" s="28" t="inlineStr">
        <is>
          <t>-</t>
        </is>
      </c>
      <c r="H61" s="28" t="inlineStr">
        <is>
          <t>-</t>
        </is>
      </c>
      <c r="I61" s="28" t="inlineStr">
        <is>
          <t>-</t>
        </is>
      </c>
      <c r="J61" s="28" t="inlineStr">
        <is>
          <t>-</t>
        </is>
      </c>
      <c r="K61" s="28" t="inlineStr">
        <is>
          <t>-</t>
        </is>
      </c>
      <c r="L61" s="28" t="inlineStr">
        <is>
          <t>-</t>
        </is>
      </c>
    </row>
    <row r="62" ht="18.5" customHeight="1">
      <c r="A62" s="6" t="inlineStr">
        <is>
          <t xml:space="preserve">   Treasury stock, 225,931 and 225,474 shares</t>
        </is>
      </c>
      <c r="B62" s="7" t="n">
        <v>-312</v>
      </c>
      <c r="C62" s="7" t="n">
        <v>-312</v>
      </c>
      <c r="D62" s="7" t="n">
        <v>-311</v>
      </c>
      <c r="E62" s="25" t="inlineStr">
        <is>
          <t>-</t>
        </is>
      </c>
      <c r="F62" s="25" t="inlineStr">
        <is>
          <t>-</t>
        </is>
      </c>
      <c r="G62" s="25" t="inlineStr">
        <is>
          <t>-</t>
        </is>
      </c>
      <c r="H62" s="25" t="inlineStr">
        <is>
          <t>-</t>
        </is>
      </c>
      <c r="I62" s="25" t="inlineStr">
        <is>
          <t>-</t>
        </is>
      </c>
      <c r="J62" s="25" t="inlineStr">
        <is>
          <t>-</t>
        </is>
      </c>
      <c r="K62" s="25" t="inlineStr">
        <is>
          <t>-</t>
        </is>
      </c>
      <c r="L62" s="2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9"/>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Estado de Flujos de Efectivo</t>
        </is>
      </c>
    </row>
    <row r="2" ht="18" customHeight="1">
      <c r="A2" s="2" t="inlineStr">
        <is>
          <t>Cifras expresadas en Millones de USD ($M) | Conciliación de CFO, CFI y CFF</t>
        </is>
      </c>
    </row>
    <row r="3" ht="8" customHeight="1"/>
    <row r="4" ht="25" customHeight="1">
      <c r="A4" s="3" t="inlineStr">
        <is>
          <t>Actividad / Flujo de Fondos</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Cash flows from operating activities:</t>
        </is>
      </c>
      <c r="B5" s="19" t="n"/>
      <c r="C5" s="19" t="n"/>
      <c r="D5" s="19" t="n"/>
      <c r="E5" s="19" t="n"/>
      <c r="F5" s="19" t="n"/>
      <c r="G5" s="19" t="n"/>
      <c r="H5" s="19" t="n"/>
      <c r="I5" s="19" t="n"/>
      <c r="J5" s="19" t="n"/>
      <c r="K5" s="19" t="n"/>
      <c r="L5" s="19" t="n"/>
    </row>
    <row r="6" ht="18.5" customHeight="1">
      <c r="A6" s="6" t="inlineStr">
        <is>
          <t xml:space="preserve">   Net Income (Loss), Including Portion Attributable to Noncontrolling Interest</t>
        </is>
      </c>
      <c r="B6" s="25" t="inlineStr">
        <is>
          <t>-</t>
        </is>
      </c>
      <c r="C6" s="25" t="inlineStr">
        <is>
          <t>-</t>
        </is>
      </c>
      <c r="D6" s="25" t="inlineStr">
        <is>
          <t>-</t>
        </is>
      </c>
      <c r="E6" s="25" t="inlineStr">
        <is>
          <t>-</t>
        </is>
      </c>
      <c r="F6" s="25" t="inlineStr">
        <is>
          <t>-</t>
        </is>
      </c>
      <c r="G6" s="25" t="inlineStr">
        <is>
          <t>-</t>
        </is>
      </c>
      <c r="H6" s="25" t="inlineStr">
        <is>
          <t>-</t>
        </is>
      </c>
      <c r="I6" s="25" t="inlineStr">
        <is>
          <t>-</t>
        </is>
      </c>
      <c r="J6" s="7" t="n">
        <v>-36.585</v>
      </c>
      <c r="K6" s="7" t="n">
        <v>13.78</v>
      </c>
      <c r="L6" s="7" t="n">
        <v>136.366</v>
      </c>
    </row>
    <row r="7" ht="22" customHeight="1">
      <c r="A7" s="18" t="inlineStr">
        <is>
          <t>Adjustments to reconcile net income to net cash provided by operating activities:</t>
        </is>
      </c>
      <c r="B7" s="19" t="n"/>
      <c r="C7" s="19" t="n"/>
      <c r="D7" s="19" t="n"/>
      <c r="E7" s="19" t="n"/>
      <c r="F7" s="19" t="n"/>
      <c r="G7" s="19" t="n"/>
      <c r="H7" s="19" t="n"/>
      <c r="I7" s="19" t="n"/>
      <c r="J7" s="19" t="n"/>
      <c r="K7" s="19" t="n"/>
      <c r="L7" s="19" t="n"/>
    </row>
    <row r="8" ht="18.5" customHeight="1">
      <c r="A8" s="6" t="inlineStr">
        <is>
          <t xml:space="preserve">   Depreciation and amortization</t>
        </is>
      </c>
      <c r="B8" s="7" t="n">
        <v>818</v>
      </c>
      <c r="C8" s="7" t="n">
        <v>818</v>
      </c>
      <c r="D8" s="7" t="n">
        <v>617</v>
      </c>
      <c r="E8" s="7" t="n">
        <v>524</v>
      </c>
      <c r="F8" s="7" t="n">
        <v>403</v>
      </c>
      <c r="G8" s="7" t="n">
        <v>203.942</v>
      </c>
      <c r="H8" s="7" t="n">
        <v>104.992</v>
      </c>
      <c r="I8" s="7" t="n">
        <v>73.31999999999999</v>
      </c>
      <c r="J8" s="7" t="n">
        <v>45.792</v>
      </c>
      <c r="K8" s="7" t="n">
        <v>40.921</v>
      </c>
      <c r="L8" s="7" t="n">
        <v>29.022</v>
      </c>
    </row>
    <row r="9" ht="18.5" customHeight="1">
      <c r="A9" s="6" t="inlineStr">
        <is>
          <t xml:space="preserve">   Share-based Payment Arrangement, Noncash Expense</t>
        </is>
      </c>
      <c r="B9" s="25" t="inlineStr">
        <is>
          <t>-</t>
        </is>
      </c>
      <c r="C9" s="25" t="inlineStr">
        <is>
          <t>-</t>
        </is>
      </c>
      <c r="D9" s="25" t="inlineStr">
        <is>
          <t>-</t>
        </is>
      </c>
      <c r="E9" s="25" t="inlineStr">
        <is>
          <t>-</t>
        </is>
      </c>
      <c r="F9" s="25" t="inlineStr">
        <is>
          <t>-</t>
        </is>
      </c>
      <c r="G9" s="25" t="inlineStr">
        <is>
          <t>-</t>
        </is>
      </c>
      <c r="H9" s="25" t="inlineStr">
        <is>
          <t>-</t>
        </is>
      </c>
      <c r="I9" s="25" t="inlineStr">
        <is>
          <t>-</t>
        </is>
      </c>
      <c r="J9" s="7" t="n">
        <v>27.525</v>
      </c>
      <c r="K9" s="7" t="n">
        <v>35.719</v>
      </c>
      <c r="L9" s="7" t="n">
        <v>22.983</v>
      </c>
    </row>
    <row r="10" ht="22" customHeight="1">
      <c r="A10" s="18" t="inlineStr">
        <is>
          <t>Changes in operating assets and liabilities:</t>
        </is>
      </c>
      <c r="B10" s="19" t="n"/>
      <c r="C10" s="19" t="n"/>
      <c r="D10" s="19" t="n"/>
      <c r="E10" s="19" t="n"/>
      <c r="F10" s="19" t="n"/>
      <c r="G10" s="19" t="n"/>
      <c r="H10" s="19" t="n"/>
      <c r="I10" s="19" t="n"/>
      <c r="J10" s="19" t="n"/>
      <c r="K10" s="19" t="n"/>
      <c r="L10" s="19" t="n"/>
    </row>
    <row r="11" ht="18.5" customHeight="1">
      <c r="A11" s="6" t="inlineStr">
        <is>
          <t xml:space="preserve">   Increase (Decrease) in Accounts Receivable</t>
        </is>
      </c>
      <c r="B11" s="7" t="n">
        <v>1508</v>
      </c>
      <c r="C11" s="7" t="n">
        <v>1508</v>
      </c>
      <c r="D11" s="7" t="n">
        <v>157</v>
      </c>
      <c r="E11" s="7" t="n">
        <v>92</v>
      </c>
      <c r="F11" s="7" t="n">
        <v>71</v>
      </c>
      <c r="G11" s="7" t="n">
        <v>26.331</v>
      </c>
      <c r="H11" s="7" t="n">
        <v>-12.069</v>
      </c>
      <c r="I11" s="7" t="n">
        <v>0.507</v>
      </c>
      <c r="J11" s="7" t="n">
        <v>27.105</v>
      </c>
      <c r="K11" s="7" t="n">
        <v>21.817</v>
      </c>
      <c r="L11" s="7" t="n">
        <v>15.428</v>
      </c>
    </row>
    <row r="12" ht="18.5" customHeight="1">
      <c r="A12" s="6" t="inlineStr">
        <is>
          <t xml:space="preserve">   Increase (Decrease) in Inventories</t>
        </is>
      </c>
      <c r="B12" s="7" t="n">
        <v>361</v>
      </c>
      <c r="C12" s="7" t="n">
        <v>235</v>
      </c>
      <c r="D12" s="7" t="n">
        <v>113</v>
      </c>
      <c r="E12" s="7" t="n">
        <v>69</v>
      </c>
      <c r="F12" s="7" t="n">
        <v>-114</v>
      </c>
      <c r="G12" s="7" t="n">
        <v>142.382</v>
      </c>
      <c r="H12" s="7" t="n">
        <v>106.981</v>
      </c>
      <c r="I12" s="7" t="n">
        <v>4.148</v>
      </c>
      <c r="J12" s="7" t="n">
        <v>3.015</v>
      </c>
      <c r="K12" s="7" t="n">
        <v>1.549</v>
      </c>
      <c r="L12" s="7" t="n">
        <v>0.787</v>
      </c>
    </row>
    <row r="13" ht="18.5" customHeight="1">
      <c r="A13" s="6" t="inlineStr">
        <is>
          <t xml:space="preserve">   Deferred Income Tax Expense (Benefit)</t>
        </is>
      </c>
      <c r="B13" s="7" t="n">
        <v>-469</v>
      </c>
      <c r="C13" s="7" t="n">
        <v>-469</v>
      </c>
      <c r="D13" s="7" t="n">
        <v>-243</v>
      </c>
      <c r="E13" s="7" t="n">
        <v>-284</v>
      </c>
      <c r="F13" s="7" t="n">
        <v>-97</v>
      </c>
      <c r="G13" s="7" t="n">
        <v>-29.481</v>
      </c>
      <c r="H13" s="7" t="n">
        <v>-70.315</v>
      </c>
      <c r="I13" s="7" t="n">
        <v>16.453</v>
      </c>
      <c r="J13" s="7" t="n">
        <v>-92.88500000000001</v>
      </c>
      <c r="K13" s="7" t="n">
        <v>-24.575</v>
      </c>
      <c r="L13" s="7" t="n">
        <v>-6.188</v>
      </c>
    </row>
    <row r="14" ht="18.5" customHeight="1">
      <c r="A14" s="8" t="inlineStr">
        <is>
          <t xml:space="preserve">   Net Cash Provided by (Used in) Operating Activities</t>
        </is>
      </c>
      <c r="B14" s="9" t="n">
        <v>13905</v>
      </c>
      <c r="C14" s="9" t="n">
        <v>12116</v>
      </c>
      <c r="D14" s="9" t="n">
        <v>7918</v>
      </c>
      <c r="E14" s="9" t="n">
        <v>5140</v>
      </c>
      <c r="F14" s="9" t="n">
        <v>2940</v>
      </c>
      <c r="G14" s="9" t="n">
        <v>965.043</v>
      </c>
      <c r="H14" s="9" t="n">
        <v>1182.552</v>
      </c>
      <c r="I14" s="9" t="n">
        <v>451.091</v>
      </c>
      <c r="J14" s="9" t="n">
        <v>230.907</v>
      </c>
      <c r="K14" s="9" t="n">
        <v>269.01</v>
      </c>
      <c r="L14" s="24" t="inlineStr">
        <is>
          <t>-</t>
        </is>
      </c>
    </row>
    <row r="15" ht="22" customHeight="1">
      <c r="A15" s="18" t="inlineStr">
        <is>
          <t>Cash flows from investing activities:</t>
        </is>
      </c>
      <c r="B15" s="19" t="n"/>
      <c r="C15" s="19" t="n"/>
      <c r="D15" s="19" t="n"/>
      <c r="E15" s="19" t="n"/>
      <c r="F15" s="19" t="n"/>
      <c r="G15" s="19" t="n"/>
      <c r="H15" s="19" t="n"/>
      <c r="I15" s="19" t="n"/>
      <c r="J15" s="19" t="n"/>
      <c r="K15" s="19" t="n"/>
      <c r="L15" s="19" t="n"/>
    </row>
    <row r="16" ht="18.5" customHeight="1">
      <c r="A16" s="6" t="inlineStr">
        <is>
          <t xml:space="preserve">   Payments to Acquire Businesses, Net of Cash Acquired</t>
        </is>
      </c>
      <c r="B16" s="7" t="n">
        <v>0</v>
      </c>
      <c r="C16" s="7" t="n">
        <v>0</v>
      </c>
      <c r="D16" s="7" t="n">
        <v>6</v>
      </c>
      <c r="E16" s="7" t="n">
        <v>0</v>
      </c>
      <c r="F16" s="7" t="n">
        <v>0</v>
      </c>
      <c r="G16" s="7" t="n">
        <v>50.615</v>
      </c>
      <c r="H16" s="7" t="n">
        <v>6.937</v>
      </c>
      <c r="I16" s="25" t="inlineStr">
        <is>
          <t>-</t>
        </is>
      </c>
      <c r="J16" s="7" t="n">
        <v>4.195</v>
      </c>
      <c r="K16" s="7" t="n">
        <v>8.568</v>
      </c>
      <c r="L16" s="7" t="n">
        <v>7.284</v>
      </c>
    </row>
    <row r="17" ht="18.5" customHeight="1">
      <c r="A17" s="8" t="inlineStr">
        <is>
          <t xml:space="preserve">   Net Cash Provided by (Used in) Investing Activities</t>
        </is>
      </c>
      <c r="B17" s="9" t="n">
        <v>-7274</v>
      </c>
      <c r="C17" s="9" t="n">
        <v>-6179</v>
      </c>
      <c r="D17" s="9" t="n">
        <v>-8287</v>
      </c>
      <c r="E17" s="9" t="n">
        <v>-3450</v>
      </c>
      <c r="F17" s="9" t="n">
        <v>-3871</v>
      </c>
      <c r="G17" s="9" t="n">
        <v>-1596.533</v>
      </c>
      <c r="H17" s="9" t="n">
        <v>-252.181</v>
      </c>
      <c r="I17" s="9" t="n">
        <v>-1447.79</v>
      </c>
      <c r="J17" s="9" t="n">
        <v>-672.4589999999999</v>
      </c>
      <c r="K17" s="9" t="n">
        <v>-22.641</v>
      </c>
      <c r="L17" s="24" t="inlineStr">
        <is>
          <t>-</t>
        </is>
      </c>
    </row>
    <row r="18" ht="18.5" customHeight="1">
      <c r="A18" s="6" t="inlineStr">
        <is>
          <t xml:space="preserve">   Payments to Acquire Property, Plant, and Equipment</t>
        </is>
      </c>
      <c r="B18" s="25" t="n">
        <v>1496</v>
      </c>
      <c r="C18" s="25" t="inlineStr">
        <is>
          <t>-</t>
        </is>
      </c>
      <c r="D18" s="25" t="inlineStr">
        <is>
          <t>-</t>
        </is>
      </c>
      <c r="E18" s="7" t="n">
        <v>509</v>
      </c>
      <c r="F18" s="7" t="n">
        <v>454</v>
      </c>
      <c r="G18" s="7" t="n">
        <v>572.929</v>
      </c>
      <c r="H18" s="7" t="n">
        <v>247.048</v>
      </c>
      <c r="I18" s="7" t="n">
        <v>136.798</v>
      </c>
      <c r="J18" s="7" t="n">
        <v>93.136</v>
      </c>
      <c r="K18" s="7" t="n">
        <v>55.156</v>
      </c>
      <c r="L18" s="7" t="n">
        <v>68.527</v>
      </c>
    </row>
    <row r="19" ht="22" customHeight="1">
      <c r="A19" s="18" t="inlineStr">
        <is>
          <t>Cash flows from financing activities:</t>
        </is>
      </c>
      <c r="B19" s="19" t="n"/>
      <c r="C19" s="19" t="n"/>
      <c r="D19" s="19" t="n"/>
      <c r="E19" s="19" t="n"/>
      <c r="F19" s="19" t="n"/>
      <c r="G19" s="19" t="n"/>
      <c r="H19" s="19" t="n"/>
      <c r="I19" s="19" t="n"/>
      <c r="J19" s="19" t="n"/>
      <c r="K19" s="19" t="n"/>
      <c r="L19" s="19" t="n"/>
    </row>
    <row r="20" ht="18.5" customHeight="1">
      <c r="A20" s="6" t="inlineStr">
        <is>
          <t xml:space="preserve">   Payments for Repurchase of Common Stock</t>
        </is>
      </c>
      <c r="B20" s="7" t="n">
        <v>2</v>
      </c>
      <c r="C20" s="7" t="n">
        <v>1</v>
      </c>
      <c r="D20" s="7" t="n">
        <v>1</v>
      </c>
      <c r="E20" s="7" t="n">
        <v>356</v>
      </c>
      <c r="F20" s="7" t="n">
        <v>148</v>
      </c>
      <c r="G20" s="7" t="n">
        <v>485.886</v>
      </c>
      <c r="H20" s="7" t="n">
        <v>54.085</v>
      </c>
      <c r="I20" s="7" t="n">
        <v>0.72</v>
      </c>
      <c r="J20" s="25" t="inlineStr">
        <is>
          <t>-</t>
        </is>
      </c>
      <c r="K20" s="25" t="inlineStr">
        <is>
          <t>-</t>
        </is>
      </c>
      <c r="L20" s="25" t="inlineStr">
        <is>
          <t>-</t>
        </is>
      </c>
    </row>
    <row r="21" ht="18.5" customHeight="1">
      <c r="A21" s="8" t="inlineStr">
        <is>
          <t xml:space="preserve">   Net Cash Provided by (Used in) Financing Activities</t>
        </is>
      </c>
      <c r="B21" s="9" t="n">
        <v>2929</v>
      </c>
      <c r="C21" s="9" t="n">
        <v>2904</v>
      </c>
      <c r="D21" s="9" t="n">
        <v>1959</v>
      </c>
      <c r="E21" s="9" t="n">
        <v>-267</v>
      </c>
      <c r="F21" s="9" t="n">
        <v>916</v>
      </c>
      <c r="G21" s="9" t="n">
        <v>1924.983</v>
      </c>
      <c r="H21" s="9" t="n">
        <v>242.266</v>
      </c>
      <c r="I21" s="9" t="n">
        <v>2021.012</v>
      </c>
      <c r="J21" s="9" t="n">
        <v>608.8819999999999</v>
      </c>
      <c r="K21" s="9" t="n">
        <v>-50.903</v>
      </c>
      <c r="L21" s="24" t="inlineStr">
        <is>
          <t>-</t>
        </is>
      </c>
    </row>
    <row r="22" ht="18.5" customHeight="1">
      <c r="A22" s="6" t="inlineStr">
        <is>
          <t xml:space="preserve">   Payments of Ordinary Dividends, Common Stock</t>
        </is>
      </c>
      <c r="B22" s="25" t="inlineStr">
        <is>
          <t>-</t>
        </is>
      </c>
      <c r="C22" s="25" t="inlineStr">
        <is>
          <t>-</t>
        </is>
      </c>
      <c r="D22" s="25" t="inlineStr">
        <is>
          <t>-</t>
        </is>
      </c>
      <c r="E22" s="25" t="inlineStr">
        <is>
          <t>-</t>
        </is>
      </c>
      <c r="F22" s="25" t="inlineStr">
        <is>
          <t>-</t>
        </is>
      </c>
      <c r="G22" s="25" t="inlineStr">
        <is>
          <t>-</t>
        </is>
      </c>
      <c r="H22" s="25" t="inlineStr">
        <is>
          <t>-</t>
        </is>
      </c>
      <c r="I22" s="25" t="inlineStr">
        <is>
          <t>-</t>
        </is>
      </c>
      <c r="J22" s="7" t="n">
        <v>6.624</v>
      </c>
      <c r="K22" s="7" t="n">
        <v>26.496</v>
      </c>
      <c r="L22" s="7" t="n">
        <v>24.419</v>
      </c>
    </row>
    <row r="23" ht="18.5" customHeight="1">
      <c r="A23" s="6" t="inlineStr">
        <is>
          <t xml:space="preserve">   Repayments of Long-term Debt</t>
        </is>
      </c>
      <c r="B23" s="25" t="inlineStr">
        <is>
          <t>-</t>
        </is>
      </c>
      <c r="C23" s="25" t="inlineStr">
        <is>
          <t>-</t>
        </is>
      </c>
      <c r="D23" s="25" t="inlineStr">
        <is>
          <t>-</t>
        </is>
      </c>
      <c r="E23" s="25" t="inlineStr">
        <is>
          <t>-</t>
        </is>
      </c>
      <c r="F23" s="25" t="inlineStr">
        <is>
          <t>-</t>
        </is>
      </c>
      <c r="G23" s="25" t="inlineStr">
        <is>
          <t>-</t>
        </is>
      </c>
      <c r="H23" s="25" t="inlineStr">
        <is>
          <t>-</t>
        </is>
      </c>
      <c r="I23" s="25" t="inlineStr">
        <is>
          <t>-</t>
        </is>
      </c>
      <c r="J23" s="7" t="n">
        <v>123.822</v>
      </c>
      <c r="K23" s="7" t="n">
        <v>5.004</v>
      </c>
      <c r="L23" s="7" t="n">
        <v>6.684</v>
      </c>
    </row>
    <row r="24" ht="18.5" customHeight="1">
      <c r="A24" s="8" t="inlineStr">
        <is>
          <t xml:space="preserve">   Cash, Cash Equivalents, Restricted Cash and Restricted Cash Equivalents, Period Increase (Decrease), Including Exchange Rate Effect</t>
        </is>
      </c>
      <c r="B24" s="9" t="n">
        <v>9875</v>
      </c>
      <c r="C24" s="9" t="n">
        <v>8838</v>
      </c>
      <c r="D24" s="9" t="n">
        <v>851</v>
      </c>
      <c r="E24" s="9" t="n">
        <v>485</v>
      </c>
      <c r="F24" s="9" t="n">
        <v>-285</v>
      </c>
      <c r="G24" s="9" t="n">
        <v>1139.739</v>
      </c>
      <c r="H24" s="9" t="n">
        <v>1056.8</v>
      </c>
      <c r="I24" s="9" t="n">
        <v>986.729</v>
      </c>
      <c r="J24" s="9" t="n">
        <v>76.435</v>
      </c>
      <c r="K24" s="24" t="inlineStr">
        <is>
          <t>-</t>
        </is>
      </c>
      <c r="L24" s="24" t="inlineStr">
        <is>
          <t>-</t>
        </is>
      </c>
    </row>
    <row r="25" ht="18.5" customHeight="1">
      <c r="A25" s="6" t="inlineStr">
        <is>
          <t xml:space="preserve">   Cash, Cash Equivalents, Restricted Cash and Restricted Cash Equivalents</t>
        </is>
      </c>
      <c r="B25" s="7" t="n">
        <v>13855</v>
      </c>
      <c r="C25" s="7" t="n">
        <v>13537</v>
      </c>
      <c r="D25" s="7" t="n">
        <v>4699</v>
      </c>
      <c r="E25" s="7" t="n">
        <v>3848</v>
      </c>
      <c r="F25" s="7" t="n">
        <v>3363</v>
      </c>
      <c r="G25" s="7" t="n">
        <v>3647.963</v>
      </c>
      <c r="H25" s="7" t="n">
        <v>2508.224</v>
      </c>
      <c r="I25" s="7" t="n">
        <v>1451.424</v>
      </c>
      <c r="J25" s="7" t="n">
        <v>464.695</v>
      </c>
      <c r="K25" s="25" t="inlineStr">
        <is>
          <t>-</t>
        </is>
      </c>
      <c r="L25" s="25" t="inlineStr">
        <is>
          <t>-</t>
        </is>
      </c>
    </row>
    <row r="26" ht="22" customHeight="1">
      <c r="A26" s="18" t="inlineStr">
        <is>
          <t>Supplemental disclosure of cash flow information:</t>
        </is>
      </c>
      <c r="B26" s="19" t="n"/>
      <c r="C26" s="19" t="n"/>
      <c r="D26" s="19" t="n"/>
      <c r="E26" s="19" t="n"/>
      <c r="F26" s="19" t="n"/>
      <c r="G26" s="19" t="n"/>
      <c r="H26" s="19" t="n"/>
      <c r="I26" s="19" t="n"/>
      <c r="J26" s="19" t="n"/>
      <c r="K26" s="19" t="n"/>
      <c r="L26" s="19" t="n"/>
    </row>
    <row r="27" ht="18.5" customHeight="1">
      <c r="A27" s="6" t="inlineStr">
        <is>
          <t xml:space="preserve">   Interest Paid, Excluding Capitalized Interest, Operating Activities</t>
        </is>
      </c>
      <c r="B27" s="7" t="n">
        <v>611</v>
      </c>
      <c r="C27" s="7" t="n">
        <v>611</v>
      </c>
      <c r="D27" s="7" t="n">
        <v>456</v>
      </c>
      <c r="E27" s="7" t="n">
        <v>608</v>
      </c>
      <c r="F27" s="7" t="n">
        <v>247</v>
      </c>
      <c r="G27" s="7" t="n">
        <v>57.59</v>
      </c>
      <c r="H27" s="7" t="n">
        <v>53.781</v>
      </c>
      <c r="I27" s="7" t="n">
        <v>40.523</v>
      </c>
      <c r="J27" s="7" t="n">
        <v>19.511</v>
      </c>
      <c r="K27" s="7" t="n">
        <v>7.734</v>
      </c>
      <c r="L27" s="25" t="inlineStr">
        <is>
          <t>-</t>
        </is>
      </c>
    </row>
    <row r="28" ht="18.5" customHeight="1">
      <c r="A28" s="6" t="inlineStr">
        <is>
          <t xml:space="preserve">   Income Taxes Paid, Net</t>
        </is>
      </c>
      <c r="B28" s="7" t="n">
        <v>1013</v>
      </c>
      <c r="C28" s="7" t="n">
        <v>1013</v>
      </c>
      <c r="D28" s="25" t="inlineStr">
        <is>
          <t>-</t>
        </is>
      </c>
      <c r="E28" s="25" t="inlineStr">
        <is>
          <t>-</t>
        </is>
      </c>
      <c r="F28" s="25" t="inlineStr">
        <is>
          <t>-</t>
        </is>
      </c>
      <c r="G28" s="25" t="inlineStr">
        <is>
          <t>-</t>
        </is>
      </c>
      <c r="H28" s="25" t="inlineStr">
        <is>
          <t>-</t>
        </is>
      </c>
      <c r="I28" s="25" t="inlineStr">
        <is>
          <t>-</t>
        </is>
      </c>
      <c r="J28" s="25" t="inlineStr">
        <is>
          <t>-</t>
        </is>
      </c>
      <c r="K28" s="25" t="inlineStr">
        <is>
          <t>-</t>
        </is>
      </c>
      <c r="L28" s="25" t="inlineStr">
        <is>
          <t>-</t>
        </is>
      </c>
    </row>
    <row r="29" ht="18.5" customHeight="1">
      <c r="A29" s="6" t="inlineStr">
        <is>
          <t xml:space="preserve">   Effect of Exchange Rate on Cash, Cash Equivalents, Restricted Cash and Restricted Cash Equivalents</t>
        </is>
      </c>
      <c r="B29" s="7" t="n">
        <v>-321</v>
      </c>
      <c r="C29" s="7" t="n">
        <v>-3</v>
      </c>
      <c r="D29" s="7" t="n">
        <v>-739</v>
      </c>
      <c r="E29" s="7" t="n">
        <v>-938</v>
      </c>
      <c r="F29" s="7" t="n">
        <v>-270</v>
      </c>
      <c r="G29" s="7" t="n">
        <v>-153.754</v>
      </c>
      <c r="H29" s="7" t="n">
        <v>-115.837</v>
      </c>
      <c r="I29" s="7" t="n">
        <v>-37.584</v>
      </c>
      <c r="J29" s="7" t="n">
        <v>-90.895</v>
      </c>
      <c r="K29" s="25" t="inlineStr">
        <is>
          <t>-</t>
        </is>
      </c>
      <c r="L29" s="25" t="inlineStr">
        <is>
          <t>-</t>
        </is>
      </c>
    </row>
    <row r="30" ht="18.5" customHeight="1">
      <c r="A30" s="6" t="inlineStr">
        <is>
          <t xml:space="preserve">   Additional Financial Items</t>
        </is>
      </c>
      <c r="B30" s="25" t="inlineStr">
        <is>
          <t>-</t>
        </is>
      </c>
      <c r="C30" s="25" t="inlineStr">
        <is>
          <t>-</t>
        </is>
      </c>
      <c r="D30" s="25" t="inlineStr">
        <is>
          <t>-</t>
        </is>
      </c>
      <c r="E30" s="25" t="inlineStr">
        <is>
          <t>-</t>
        </is>
      </c>
      <c r="F30" s="25" t="inlineStr">
        <is>
          <t>-</t>
        </is>
      </c>
      <c r="G30" s="25" t="inlineStr">
        <is>
          <t>-</t>
        </is>
      </c>
      <c r="H30" s="25" t="inlineStr">
        <is>
          <t>-</t>
        </is>
      </c>
      <c r="I30" s="25" t="inlineStr">
        <is>
          <t>-</t>
        </is>
      </c>
      <c r="J30" s="25" t="inlineStr">
        <is>
          <t>-</t>
        </is>
      </c>
      <c r="K30" s="25" t="inlineStr">
        <is>
          <t>-</t>
        </is>
      </c>
      <c r="L30" s="25" t="inlineStr">
        <is>
          <t>-</t>
        </is>
      </c>
    </row>
    <row r="31" ht="18.5" customHeight="1">
      <c r="A31" s="6" t="inlineStr">
        <is>
          <t xml:space="preserve">   Amortization of Debt Issuance Costs</t>
        </is>
      </c>
      <c r="B31" s="25" t="inlineStr">
        <is>
          <t>-</t>
        </is>
      </c>
      <c r="C31" s="25" t="inlineStr">
        <is>
          <t>-</t>
        </is>
      </c>
      <c r="D31" s="25" t="inlineStr">
        <is>
          <t>-</t>
        </is>
      </c>
      <c r="E31" s="25" t="inlineStr">
        <is>
          <t>-</t>
        </is>
      </c>
      <c r="F31" s="25" t="inlineStr">
        <is>
          <t>-</t>
        </is>
      </c>
      <c r="G31" s="25" t="inlineStr">
        <is>
          <t>-</t>
        </is>
      </c>
      <c r="H31" s="25" t="inlineStr">
        <is>
          <t>-</t>
        </is>
      </c>
      <c r="I31" s="25" t="inlineStr">
        <is>
          <t>-</t>
        </is>
      </c>
      <c r="J31" s="25" t="inlineStr">
        <is>
          <t>-</t>
        </is>
      </c>
      <c r="K31" s="7" t="n">
        <v>1.459</v>
      </c>
      <c r="L31" s="7" t="n">
        <v>1.341</v>
      </c>
    </row>
    <row r="32" ht="18.5" customHeight="1">
      <c r="A32" s="6" t="inlineStr">
        <is>
          <t xml:space="preserve">   Amortization of Intangible Assets</t>
        </is>
      </c>
      <c r="B32" s="7" t="n">
        <v>9</v>
      </c>
      <c r="C32" s="7" t="n">
        <v>9</v>
      </c>
      <c r="D32" s="7" t="n">
        <v>5</v>
      </c>
      <c r="E32" s="7" t="n">
        <v>6</v>
      </c>
      <c r="F32" s="7" t="n">
        <v>9</v>
      </c>
      <c r="G32" s="7" t="n">
        <v>5.624</v>
      </c>
      <c r="H32" s="7" t="n">
        <v>5.293</v>
      </c>
      <c r="I32" s="7" t="n">
        <v>3.912</v>
      </c>
      <c r="J32" s="7" t="n">
        <v>6.102</v>
      </c>
      <c r="K32" s="7" t="n">
        <v>4.402</v>
      </c>
      <c r="L32" s="7" t="n">
        <v>4.03</v>
      </c>
    </row>
    <row r="33" ht="18.5" customHeight="1">
      <c r="A33" s="6" t="inlineStr">
        <is>
          <t xml:space="preserve">   Cash, Cash Equivalents, and Short-term Investments</t>
        </is>
      </c>
      <c r="B33" s="25" t="inlineStr">
        <is>
          <t>-</t>
        </is>
      </c>
      <c r="C33" s="25" t="inlineStr">
        <is>
          <t>-</t>
        </is>
      </c>
      <c r="D33" s="25" t="inlineStr">
        <is>
          <t>-</t>
        </is>
      </c>
      <c r="E33" s="25" t="inlineStr">
        <is>
          <t>-</t>
        </is>
      </c>
      <c r="F33" s="25" t="inlineStr">
        <is>
          <t>-</t>
        </is>
      </c>
      <c r="G33" s="25" t="inlineStr">
        <is>
          <t>-</t>
        </is>
      </c>
      <c r="H33" s="7" t="n">
        <v>2460.751</v>
      </c>
      <c r="I33" s="25" t="inlineStr">
        <is>
          <t>-</t>
        </is>
      </c>
      <c r="J33" s="25" t="inlineStr">
        <is>
          <t>-</t>
        </is>
      </c>
      <c r="K33" s="25" t="inlineStr">
        <is>
          <t>-</t>
        </is>
      </c>
      <c r="L33" s="25" t="inlineStr">
        <is>
          <t>-</t>
        </is>
      </c>
    </row>
    <row r="34" ht="18.5" customHeight="1">
      <c r="A34" s="6" t="inlineStr">
        <is>
          <t xml:space="preserve">   Deconsolidation, Gain (Loss), Amount</t>
        </is>
      </c>
      <c r="B34" s="25" t="inlineStr">
        <is>
          <t>-</t>
        </is>
      </c>
      <c r="C34" s="25" t="inlineStr">
        <is>
          <t>-</t>
        </is>
      </c>
      <c r="D34" s="25" t="inlineStr">
        <is>
          <t>-</t>
        </is>
      </c>
      <c r="E34" s="25" t="inlineStr">
        <is>
          <t>-</t>
        </is>
      </c>
      <c r="F34" s="25" t="inlineStr">
        <is>
          <t>-</t>
        </is>
      </c>
      <c r="G34" s="25" t="inlineStr">
        <is>
          <t>-</t>
        </is>
      </c>
      <c r="H34" s="25" t="inlineStr">
        <is>
          <t>-</t>
        </is>
      </c>
      <c r="I34" s="25" t="inlineStr">
        <is>
          <t>-</t>
        </is>
      </c>
      <c r="J34" s="25" t="inlineStr">
        <is>
          <t>-</t>
        </is>
      </c>
      <c r="K34" s="7" t="n">
        <v>-85.761</v>
      </c>
      <c r="L34" s="25" t="inlineStr">
        <is>
          <t>-</t>
        </is>
      </c>
    </row>
    <row r="35" ht="18.5" customHeight="1">
      <c r="A35" s="6" t="inlineStr">
        <is>
          <t xml:space="preserve">   Depreciation, Depletion and Amortization, Nonproduction</t>
        </is>
      </c>
      <c r="B35" s="7" t="n">
        <v>985</v>
      </c>
      <c r="C35" s="7" t="n">
        <v>818</v>
      </c>
      <c r="D35" s="7" t="n">
        <v>617</v>
      </c>
      <c r="E35" s="7" t="n">
        <v>524</v>
      </c>
      <c r="F35" s="7" t="n">
        <v>403</v>
      </c>
      <c r="G35" s="7" t="n">
        <v>203.942</v>
      </c>
      <c r="H35" s="7" t="n">
        <v>104.992</v>
      </c>
      <c r="I35" s="7" t="n">
        <v>73.31999999999999</v>
      </c>
      <c r="J35" s="7" t="n">
        <v>45.792</v>
      </c>
      <c r="K35" s="7" t="n">
        <v>40.921</v>
      </c>
      <c r="L35" s="7" t="n">
        <v>29.022</v>
      </c>
    </row>
    <row r="36" ht="18.5" customHeight="1">
      <c r="A36" s="6" t="inlineStr">
        <is>
          <t xml:space="preserve">   Dividends Payable, Current</t>
        </is>
      </c>
      <c r="B36" s="25" t="inlineStr">
        <is>
          <t>-</t>
        </is>
      </c>
      <c r="C36" s="25" t="inlineStr">
        <is>
          <t>-</t>
        </is>
      </c>
      <c r="D36" s="25" t="inlineStr">
        <is>
          <t>-</t>
        </is>
      </c>
      <c r="E36" s="25" t="inlineStr">
        <is>
          <t>-</t>
        </is>
      </c>
      <c r="F36" s="25" t="inlineStr">
        <is>
          <t>-</t>
        </is>
      </c>
      <c r="G36" s="25" t="inlineStr">
        <is>
          <t>-</t>
        </is>
      </c>
      <c r="H36" s="25" t="inlineStr">
        <is>
          <t>-</t>
        </is>
      </c>
      <c r="I36" s="25" t="inlineStr">
        <is>
          <t>-</t>
        </is>
      </c>
      <c r="J36" s="25" t="inlineStr">
        <is>
          <t>-</t>
        </is>
      </c>
      <c r="K36" s="7" t="n">
        <v>6.624</v>
      </c>
      <c r="L36" s="7" t="n">
        <v>6.624</v>
      </c>
    </row>
    <row r="37" ht="18.5" customHeight="1">
      <c r="A37" s="6" t="inlineStr">
        <is>
          <t xml:space="preserve">   Dividends Payable</t>
        </is>
      </c>
      <c r="B37" s="25" t="inlineStr">
        <is>
          <t>-</t>
        </is>
      </c>
      <c r="C37" s="25" t="inlineStr">
        <is>
          <t>-</t>
        </is>
      </c>
      <c r="D37" s="25" t="inlineStr">
        <is>
          <t>-</t>
        </is>
      </c>
      <c r="E37" s="25" t="inlineStr">
        <is>
          <t>-</t>
        </is>
      </c>
      <c r="F37" s="25" t="inlineStr">
        <is>
          <t>-</t>
        </is>
      </c>
      <c r="G37" s="25" t="inlineStr">
        <is>
          <t>-</t>
        </is>
      </c>
      <c r="H37" s="25" t="inlineStr">
        <is>
          <t>-</t>
        </is>
      </c>
      <c r="I37" s="25" t="inlineStr">
        <is>
          <t>-</t>
        </is>
      </c>
      <c r="J37" s="25" t="inlineStr">
        <is>
          <t>-</t>
        </is>
      </c>
      <c r="K37" s="7" t="n">
        <v>26.496</v>
      </c>
      <c r="L37" s="25" t="inlineStr">
        <is>
          <t>-</t>
        </is>
      </c>
    </row>
    <row r="38" ht="18.5" customHeight="1">
      <c r="A38" s="6" t="inlineStr">
        <is>
          <t xml:space="preserve">   Equity Securities without Readily Determinable Fair Value, Impairment Loss, Annual Amount</t>
        </is>
      </c>
      <c r="B38" s="7" t="n">
        <v>19</v>
      </c>
      <c r="C38" s="7" t="n">
        <v>19</v>
      </c>
      <c r="D38" s="7" t="n">
        <v>0</v>
      </c>
      <c r="E38" s="7" t="n">
        <v>0</v>
      </c>
      <c r="F38" s="25" t="inlineStr">
        <is>
          <t>-</t>
        </is>
      </c>
      <c r="G38" s="25" t="inlineStr">
        <is>
          <t>-</t>
        </is>
      </c>
      <c r="H38" s="25" t="inlineStr">
        <is>
          <t>-</t>
        </is>
      </c>
      <c r="I38" s="25" t="inlineStr">
        <is>
          <t>-</t>
        </is>
      </c>
      <c r="J38" s="25" t="inlineStr">
        <is>
          <t>-</t>
        </is>
      </c>
      <c r="K38" s="25" t="inlineStr">
        <is>
          <t>-</t>
        </is>
      </c>
      <c r="L38" s="25" t="inlineStr">
        <is>
          <t>-</t>
        </is>
      </c>
    </row>
    <row r="39" ht="18.5" customHeight="1">
      <c r="A39" s="6" t="inlineStr">
        <is>
          <t xml:space="preserve">   Fair Value, Option, Changes in Fair Value, Gain (Loss)</t>
        </is>
      </c>
      <c r="B39" s="25" t="inlineStr">
        <is>
          <t>-</t>
        </is>
      </c>
      <c r="C39" s="25" t="inlineStr">
        <is>
          <t>-</t>
        </is>
      </c>
      <c r="D39" s="25" t="inlineStr">
        <is>
          <t>-</t>
        </is>
      </c>
      <c r="E39" s="7" t="n">
        <v>268</v>
      </c>
      <c r="F39" s="7" t="n">
        <v>29</v>
      </c>
      <c r="G39" s="7" t="n">
        <v>9.218</v>
      </c>
      <c r="H39" s="7" t="n">
        <v>8.433</v>
      </c>
      <c r="I39" s="7" t="n">
        <v>2.295</v>
      </c>
      <c r="J39" s="25" t="inlineStr">
        <is>
          <t>-</t>
        </is>
      </c>
      <c r="K39" s="25" t="inlineStr">
        <is>
          <t>-</t>
        </is>
      </c>
      <c r="L39" s="25" t="inlineStr">
        <is>
          <t>-</t>
        </is>
      </c>
    </row>
    <row r="40" ht="18.5" customHeight="1">
      <c r="A40" s="6" t="inlineStr">
        <is>
          <t xml:space="preserve">   Foreign Currency Transaction Gain (Loss), before Tax</t>
        </is>
      </c>
      <c r="B40" s="7" t="n">
        <v>-337</v>
      </c>
      <c r="C40" s="7" t="n">
        <v>-337</v>
      </c>
      <c r="D40" s="7" t="n">
        <v>-182</v>
      </c>
      <c r="E40" s="7" t="n">
        <v>-615</v>
      </c>
      <c r="F40" s="7" t="n">
        <v>-198</v>
      </c>
      <c r="G40" s="7" t="n">
        <v>-109.333</v>
      </c>
      <c r="H40" s="7" t="n">
        <v>-42.454</v>
      </c>
      <c r="I40" s="7" t="n">
        <v>-1.732</v>
      </c>
      <c r="J40" s="7" t="n">
        <v>18.24</v>
      </c>
      <c r="K40" s="7" t="n">
        <v>-21.635</v>
      </c>
      <c r="L40" s="7" t="n">
        <v>-5.565</v>
      </c>
    </row>
    <row r="41" ht="18.5" customHeight="1">
      <c r="A41" s="6" t="inlineStr">
        <is>
          <t xml:space="preserve">   Foreign Currency Transaction Gain (Loss), Unrealized</t>
        </is>
      </c>
      <c r="B41" s="7" t="n">
        <v>-676</v>
      </c>
      <c r="C41" s="7" t="n">
        <v>-457</v>
      </c>
      <c r="D41" s="7" t="n">
        <v>286</v>
      </c>
      <c r="E41" s="7" t="n">
        <v>487</v>
      </c>
      <c r="F41" s="25" t="inlineStr">
        <is>
          <t>-</t>
        </is>
      </c>
      <c r="G41" s="25" t="inlineStr">
        <is>
          <t>-</t>
        </is>
      </c>
      <c r="H41" s="25" t="inlineStr">
        <is>
          <t>-</t>
        </is>
      </c>
      <c r="I41" s="25" t="inlineStr">
        <is>
          <t>-</t>
        </is>
      </c>
      <c r="J41" s="25" t="inlineStr">
        <is>
          <t>-</t>
        </is>
      </c>
      <c r="K41" s="25" t="inlineStr">
        <is>
          <t>-</t>
        </is>
      </c>
      <c r="L41" s="25" t="inlineStr">
        <is>
          <t>-</t>
        </is>
      </c>
    </row>
    <row r="42" ht="18.5" customHeight="1">
      <c r="A42" s="6" t="inlineStr">
        <is>
          <t xml:space="preserve">   Gain (Loss) on Disposition of Assets</t>
        </is>
      </c>
      <c r="B42" s="25" t="inlineStr">
        <is>
          <t>-</t>
        </is>
      </c>
      <c r="C42" s="25" t="inlineStr">
        <is>
          <t>-</t>
        </is>
      </c>
      <c r="D42" s="25" t="inlineStr">
        <is>
          <t>-</t>
        </is>
      </c>
      <c r="E42" s="25" t="inlineStr">
        <is>
          <t>-</t>
        </is>
      </c>
      <c r="F42" s="7" t="n">
        <v>0</v>
      </c>
      <c r="G42" s="25" t="inlineStr">
        <is>
          <t>-</t>
        </is>
      </c>
      <c r="H42" s="7" t="n">
        <v>-3.814</v>
      </c>
      <c r="I42" s="25" t="inlineStr">
        <is>
          <t>-</t>
        </is>
      </c>
      <c r="J42" s="25" t="inlineStr">
        <is>
          <t>-</t>
        </is>
      </c>
      <c r="K42" s="25" t="inlineStr">
        <is>
          <t>-</t>
        </is>
      </c>
      <c r="L42" s="25" t="inlineStr">
        <is>
          <t>-</t>
        </is>
      </c>
    </row>
    <row r="43" ht="18.5" customHeight="1">
      <c r="A43" s="6" t="inlineStr">
        <is>
          <t xml:space="preserve">   Gains (Losses) on Sales of Credit Card Portfolio</t>
        </is>
      </c>
      <c r="B43" s="25" t="inlineStr">
        <is>
          <t>-</t>
        </is>
      </c>
      <c r="C43" s="25" t="inlineStr">
        <is>
          <t>-</t>
        </is>
      </c>
      <c r="D43" s="25" t="inlineStr">
        <is>
          <t>-</t>
        </is>
      </c>
      <c r="E43" s="25" t="inlineStr">
        <is>
          <t>-</t>
        </is>
      </c>
      <c r="F43" s="25" t="inlineStr">
        <is>
          <t>-</t>
        </is>
      </c>
      <c r="G43" s="7" t="n">
        <v>575.1849999999999</v>
      </c>
      <c r="H43" s="7" t="n">
        <v>452.892</v>
      </c>
      <c r="I43" s="7" t="n">
        <v>359.037</v>
      </c>
      <c r="J43" s="7" t="n">
        <v>258.595</v>
      </c>
      <c r="K43" s="7" t="n">
        <v>185.469</v>
      </c>
      <c r="L43" s="7" t="n">
        <v>119.779</v>
      </c>
    </row>
    <row r="44" ht="18.5" customHeight="1">
      <c r="A44" s="6" t="inlineStr">
        <is>
          <t xml:space="preserve">   General and Administrative Expense</t>
        </is>
      </c>
      <c r="B44" s="7" t="n">
        <v>1078</v>
      </c>
      <c r="C44" s="7" t="n">
        <v>1078</v>
      </c>
      <c r="D44" s="7" t="n">
        <v>963</v>
      </c>
      <c r="E44" s="7" t="n">
        <v>766</v>
      </c>
      <c r="F44" s="7" t="n">
        <v>661</v>
      </c>
      <c r="G44" s="7" t="n">
        <v>464.528</v>
      </c>
      <c r="H44" s="7" t="n">
        <v>326.49</v>
      </c>
      <c r="I44" s="7" t="n">
        <v>197.455</v>
      </c>
      <c r="J44" s="7" t="n">
        <v>137.77</v>
      </c>
      <c r="K44" s="7" t="n">
        <v>122.194</v>
      </c>
      <c r="L44" s="7" t="n">
        <v>87.31</v>
      </c>
    </row>
    <row r="45" ht="18.5" customHeight="1">
      <c r="A45" s="6" t="inlineStr">
        <is>
          <t xml:space="preserve">   Goodwill</t>
        </is>
      </c>
      <c r="B45" s="7" t="n">
        <v>163</v>
      </c>
      <c r="C45" s="7" t="n">
        <v>163</v>
      </c>
      <c r="D45" s="7" t="n">
        <v>149</v>
      </c>
      <c r="E45" s="7" t="n">
        <v>163</v>
      </c>
      <c r="F45" s="7" t="n">
        <v>153</v>
      </c>
      <c r="G45" s="7" t="n">
        <v>148.243</v>
      </c>
      <c r="H45" s="7" t="n">
        <v>85.211</v>
      </c>
      <c r="I45" s="7" t="n">
        <v>87.60899999999999</v>
      </c>
      <c r="J45" s="7" t="n">
        <v>88.883</v>
      </c>
      <c r="K45" s="7" t="n">
        <v>92.279</v>
      </c>
      <c r="L45" s="7" t="n">
        <v>91.797</v>
      </c>
    </row>
    <row r="46" ht="18.5" customHeight="1">
      <c r="A46" s="6" t="inlineStr">
        <is>
          <t xml:space="preserve">   Goodwill, Impairment Loss</t>
        </is>
      </c>
      <c r="B46" s="7" t="n">
        <v>0</v>
      </c>
      <c r="C46" s="7" t="n">
        <v>0</v>
      </c>
      <c r="D46" s="7" t="n">
        <v>0</v>
      </c>
      <c r="E46" s="7" t="n">
        <v>0</v>
      </c>
      <c r="F46" s="7" t="n">
        <v>0</v>
      </c>
      <c r="G46" s="7" t="n">
        <v>0</v>
      </c>
      <c r="H46" s="7" t="n">
        <v>0</v>
      </c>
      <c r="I46" s="7" t="n">
        <v>0</v>
      </c>
      <c r="J46" s="7" t="n">
        <v>0</v>
      </c>
      <c r="K46" s="7" t="n">
        <v>0</v>
      </c>
      <c r="L46" s="7" t="n">
        <v>0</v>
      </c>
    </row>
    <row r="47" ht="18.5" customHeight="1">
      <c r="A47" s="6" t="inlineStr">
        <is>
          <t xml:space="preserve">   Impairment of Intangible Assets, Indefinite-lived (Excluding Goodwill)</t>
        </is>
      </c>
      <c r="B47" s="25" t="inlineStr">
        <is>
          <t>-</t>
        </is>
      </c>
      <c r="C47" s="25" t="inlineStr">
        <is>
          <t>-</t>
        </is>
      </c>
      <c r="D47" s="7" t="n">
        <v>0</v>
      </c>
      <c r="E47" s="7" t="n">
        <v>0</v>
      </c>
      <c r="F47" s="7" t="n">
        <v>12</v>
      </c>
      <c r="G47" s="7" t="n">
        <v>8.647</v>
      </c>
      <c r="H47" s="7" t="n">
        <v>0</v>
      </c>
      <c r="I47" s="7" t="n">
        <v>0</v>
      </c>
      <c r="J47" s="7" t="n">
        <v>0</v>
      </c>
      <c r="K47" s="7" t="n">
        <v>0</v>
      </c>
      <c r="L47" s="7" t="n">
        <v>0</v>
      </c>
    </row>
    <row r="48" ht="18.5" customHeight="1">
      <c r="A48" s="6" t="inlineStr">
        <is>
          <t xml:space="preserve">   Income Tax Expense (Benefit)</t>
        </is>
      </c>
      <c r="B48" s="7" t="n">
        <v>845</v>
      </c>
      <c r="C48" s="7" t="n">
        <v>845</v>
      </c>
      <c r="D48" s="7" t="n">
        <v>521</v>
      </c>
      <c r="E48" s="7" t="n">
        <v>569</v>
      </c>
      <c r="F48" s="7" t="n">
        <v>298</v>
      </c>
      <c r="G48" s="7" t="n">
        <v>148.802</v>
      </c>
      <c r="H48" s="7" t="n">
        <v>82.02200000000001</v>
      </c>
      <c r="I48" s="7" t="n">
        <v>64.753</v>
      </c>
      <c r="J48" s="7" t="n">
        <v>-28.867</v>
      </c>
      <c r="K48" s="7" t="n">
        <v>40.29</v>
      </c>
      <c r="L48" s="7" t="n">
        <v>48.962</v>
      </c>
    </row>
    <row r="49" ht="18.5" customHeight="1">
      <c r="A49" s="6" t="inlineStr">
        <is>
          <t xml:space="preserve">   Investment Income, Interest</t>
        </is>
      </c>
      <c r="B49" s="7" t="n">
        <v>138</v>
      </c>
      <c r="C49" s="7" t="n">
        <v>138</v>
      </c>
      <c r="D49" s="7" t="n">
        <v>148</v>
      </c>
      <c r="E49" s="7" t="n">
        <v>723</v>
      </c>
      <c r="F49" s="7" t="n">
        <v>265</v>
      </c>
      <c r="G49" s="7" t="n">
        <v>137.962</v>
      </c>
      <c r="H49" s="7" t="n">
        <v>102.767</v>
      </c>
      <c r="I49" s="7" t="n">
        <v>113.523</v>
      </c>
      <c r="J49" s="7" t="n">
        <v>42.039</v>
      </c>
      <c r="K49" s="7" t="n">
        <v>45.901</v>
      </c>
      <c r="L49" s="7" t="n">
        <v>35.442</v>
      </c>
    </row>
    <row r="50" ht="18.5" customHeight="1">
      <c r="A50" s="6" t="inlineStr">
        <is>
          <t xml:space="preserve">   Net Income (Loss) Attributable to Parent</t>
        </is>
      </c>
      <c r="B50" s="7" t="n">
        <v>1863</v>
      </c>
      <c r="C50" s="7" t="n">
        <v>1997</v>
      </c>
      <c r="D50" s="7" t="n">
        <v>1911</v>
      </c>
      <c r="E50" s="7" t="n">
        <v>987</v>
      </c>
      <c r="F50" s="7" t="n">
        <v>482</v>
      </c>
      <c r="G50" s="7" t="n">
        <v>83.304</v>
      </c>
      <c r="H50" s="7" t="n">
        <v>-0.707</v>
      </c>
      <c r="I50" s="7" t="n">
        <v>-171.999</v>
      </c>
      <c r="J50" s="25" t="inlineStr">
        <is>
          <t>-</t>
        </is>
      </c>
      <c r="K50" s="25" t="inlineStr">
        <is>
          <t>-</t>
        </is>
      </c>
      <c r="L50" s="7" t="n">
        <v>136.366</v>
      </c>
    </row>
    <row r="51" ht="18.5" customHeight="1">
      <c r="A51" s="6" t="inlineStr">
        <is>
          <t xml:space="preserve">   Net Income (Loss) Available to Common Stockholders, Basic</t>
        </is>
      </c>
      <c r="B51" s="25" t="inlineStr">
        <is>
          <t>-</t>
        </is>
      </c>
      <c r="C51" s="25" t="inlineStr">
        <is>
          <t>-</t>
        </is>
      </c>
      <c r="D51" s="7" t="n">
        <v>1911</v>
      </c>
      <c r="E51" s="7" t="n">
        <v>987</v>
      </c>
      <c r="F51" s="7" t="n">
        <v>482</v>
      </c>
      <c r="G51" s="7" t="n">
        <v>83.304</v>
      </c>
      <c r="H51" s="7" t="n">
        <v>-3.907</v>
      </c>
      <c r="I51" s="7" t="n">
        <v>-180.84</v>
      </c>
      <c r="J51" s="7" t="n">
        <v>-36.585</v>
      </c>
      <c r="K51" s="7" t="n">
        <v>13.78</v>
      </c>
      <c r="L51" s="7" t="n">
        <v>136.366</v>
      </c>
    </row>
    <row r="52" ht="18.5" customHeight="1">
      <c r="A52" s="6" t="inlineStr">
        <is>
          <t xml:space="preserve">   Operating Expenses</t>
        </is>
      </c>
      <c r="B52" s="7" t="n">
        <v>9657</v>
      </c>
      <c r="C52" s="7" t="n">
        <v>9657</v>
      </c>
      <c r="D52" s="7" t="n">
        <v>6946</v>
      </c>
      <c r="E52" s="7" t="n">
        <v>5383</v>
      </c>
      <c r="F52" s="7" t="n">
        <v>4129</v>
      </c>
      <c r="G52" s="7" t="n">
        <v>2564.349</v>
      </c>
      <c r="H52" s="7" t="n">
        <v>1581.518</v>
      </c>
      <c r="I52" s="7" t="n">
        <v>1255.284</v>
      </c>
      <c r="J52" s="7" t="n">
        <v>766.49</v>
      </c>
      <c r="K52" s="7" t="n">
        <v>663.327</v>
      </c>
      <c r="L52" s="7" t="n">
        <v>355.802</v>
      </c>
    </row>
    <row r="53" ht="18.5" customHeight="1">
      <c r="A53" s="6" t="inlineStr">
        <is>
          <t xml:space="preserve">   Other Depreciation and Amortization</t>
        </is>
      </c>
      <c r="B53" s="7" t="n">
        <v>562</v>
      </c>
      <c r="C53" s="7" t="n">
        <v>562</v>
      </c>
      <c r="D53" s="7" t="n">
        <v>466</v>
      </c>
      <c r="E53" s="7" t="n">
        <v>404</v>
      </c>
      <c r="F53" s="7" t="n">
        <v>309</v>
      </c>
      <c r="G53" s="7" t="n">
        <v>144.944</v>
      </c>
      <c r="H53" s="7" t="n">
        <v>81.29600000000001</v>
      </c>
      <c r="I53" s="7" t="n">
        <v>59.386</v>
      </c>
      <c r="J53" s="25" t="inlineStr">
        <is>
          <t>-</t>
        </is>
      </c>
      <c r="K53" s="25" t="inlineStr">
        <is>
          <t>-</t>
        </is>
      </c>
      <c r="L53" s="25" t="inlineStr">
        <is>
          <t>-</t>
        </is>
      </c>
    </row>
    <row r="54" ht="18.5" customHeight="1">
      <c r="A54" s="6" t="inlineStr">
        <is>
          <t xml:space="preserve">   Payments of Financing Costs</t>
        </is>
      </c>
      <c r="B54" s="25" t="inlineStr">
        <is>
          <t>-</t>
        </is>
      </c>
      <c r="C54" s="25" t="inlineStr">
        <is>
          <t>-</t>
        </is>
      </c>
      <c r="D54" s="25" t="inlineStr">
        <is>
          <t>-</t>
        </is>
      </c>
      <c r="E54" s="25" t="inlineStr">
        <is>
          <t>-</t>
        </is>
      </c>
      <c r="F54" s="25" t="inlineStr">
        <is>
          <t>-</t>
        </is>
      </c>
      <c r="G54" s="25" t="inlineStr">
        <is>
          <t>-</t>
        </is>
      </c>
      <c r="H54" s="25" t="inlineStr">
        <is>
          <t>-</t>
        </is>
      </c>
      <c r="I54" s="25" t="inlineStr">
        <is>
          <t>-</t>
        </is>
      </c>
      <c r="J54" s="7" t="n">
        <v>16.264</v>
      </c>
      <c r="K54" s="25" t="inlineStr">
        <is>
          <t>-</t>
        </is>
      </c>
      <c r="L54" s="25" t="inlineStr">
        <is>
          <t>-</t>
        </is>
      </c>
    </row>
    <row r="55" ht="18.5" customHeight="1">
      <c r="A55" s="6" t="inlineStr">
        <is>
          <t xml:space="preserve">   Payments to Acquire Investments</t>
        </is>
      </c>
      <c r="B55" s="7" t="n">
        <v>13741</v>
      </c>
      <c r="C55" s="7" t="n">
        <v>14754</v>
      </c>
      <c r="D55" s="7" t="n">
        <v>16710</v>
      </c>
      <c r="E55" s="7" t="n">
        <v>18936</v>
      </c>
      <c r="F55" s="7" t="n">
        <v>12694</v>
      </c>
      <c r="G55" s="7" t="n">
        <v>7370.742</v>
      </c>
      <c r="H55" s="7" t="n">
        <v>5199.875</v>
      </c>
      <c r="I55" s="7" t="n">
        <v>4490.678</v>
      </c>
      <c r="J55" s="7" t="n">
        <v>3176.078</v>
      </c>
      <c r="K55" s="7" t="n">
        <v>4553.649</v>
      </c>
      <c r="L55" s="7" t="n">
        <v>3501.283</v>
      </c>
    </row>
    <row r="56" ht="18.5" customHeight="1">
      <c r="A56" s="6" t="inlineStr">
        <is>
          <t xml:space="preserve">   Proceeds from Issuance of Common Stock</t>
        </is>
      </c>
      <c r="B56" s="25" t="inlineStr">
        <is>
          <t>-</t>
        </is>
      </c>
      <c r="C56" s="25" t="inlineStr">
        <is>
          <t>-</t>
        </is>
      </c>
      <c r="D56" s="25" t="inlineStr">
        <is>
          <t>-</t>
        </is>
      </c>
      <c r="E56" s="7" t="n">
        <v>0</v>
      </c>
      <c r="F56" s="7" t="n">
        <v>0</v>
      </c>
      <c r="G56" s="7" t="n">
        <v>1519.545</v>
      </c>
      <c r="H56" s="25" t="inlineStr">
        <is>
          <t>-</t>
        </is>
      </c>
      <c r="I56" s="7" t="n">
        <v>1867.215</v>
      </c>
      <c r="J56" s="25" t="inlineStr">
        <is>
          <t>-</t>
        </is>
      </c>
      <c r="K56" s="25" t="inlineStr">
        <is>
          <t>-</t>
        </is>
      </c>
      <c r="L56" s="25" t="inlineStr">
        <is>
          <t>-</t>
        </is>
      </c>
    </row>
    <row r="57" ht="18.5" customHeight="1">
      <c r="A57" s="6" t="inlineStr">
        <is>
          <t xml:space="preserve">   Proceeds from Issuance of Long-term Debt</t>
        </is>
      </c>
      <c r="B57" s="25" t="inlineStr">
        <is>
          <t>-</t>
        </is>
      </c>
      <c r="C57" s="25" t="inlineStr">
        <is>
          <t>-</t>
        </is>
      </c>
      <c r="D57" s="25" t="inlineStr">
        <is>
          <t>-</t>
        </is>
      </c>
      <c r="E57" s="25" t="inlineStr">
        <is>
          <t>-</t>
        </is>
      </c>
      <c r="F57" s="25" t="inlineStr">
        <is>
          <t>-</t>
        </is>
      </c>
      <c r="G57" s="25" t="inlineStr">
        <is>
          <t>-</t>
        </is>
      </c>
      <c r="H57" s="25" t="inlineStr">
        <is>
          <t>-</t>
        </is>
      </c>
      <c r="I57" s="25" t="inlineStr">
        <is>
          <t>-</t>
        </is>
      </c>
      <c r="J57" s="7" t="n">
        <v>236.873</v>
      </c>
      <c r="K57" s="7" t="n">
        <v>47.905</v>
      </c>
      <c r="L57" s="7" t="n">
        <v>11.435</v>
      </c>
    </row>
    <row r="58" ht="18.5" customHeight="1">
      <c r="A58" s="6" t="inlineStr">
        <is>
          <t xml:space="preserve">   Stock or Unit Option Plan Expense</t>
        </is>
      </c>
      <c r="B58" s="7" t="n">
        <v>280</v>
      </c>
      <c r="C58" s="7" t="n">
        <v>303</v>
      </c>
      <c r="D58" s="7" t="n">
        <v>261</v>
      </c>
      <c r="E58" s="7" t="n">
        <v>167</v>
      </c>
      <c r="F58" s="7" t="n">
        <v>84</v>
      </c>
      <c r="G58" s="7" t="n">
        <v>88.69799999999999</v>
      </c>
      <c r="H58" s="7" t="n">
        <v>129.575</v>
      </c>
      <c r="I58" s="7" t="n">
        <v>51.662</v>
      </c>
      <c r="J58" s="25" t="inlineStr">
        <is>
          <t>-</t>
        </is>
      </c>
      <c r="K58" s="25" t="inlineStr">
        <is>
          <t>-</t>
        </is>
      </c>
      <c r="L58" s="25" t="inlineStr">
        <is>
          <t>-</t>
        </is>
      </c>
    </row>
    <row r="59" ht="18.5" customHeight="1">
      <c r="A59" s="6" t="inlineStr">
        <is>
          <t xml:space="preserve">   Equity in earnings of unconsolidated entity</t>
        </is>
      </c>
      <c r="B59" s="7" t="n">
        <v>0</v>
      </c>
      <c r="C59" s="7" t="n">
        <v>0</v>
      </c>
      <c r="D59" s="7" t="n">
        <v>0</v>
      </c>
      <c r="E59" s="7" t="n">
        <v>-3</v>
      </c>
      <c r="F59" s="25" t="inlineStr">
        <is>
          <t>-</t>
        </is>
      </c>
      <c r="G59" s="25" t="inlineStr">
        <is>
          <t>-</t>
        </is>
      </c>
      <c r="H59" s="25" t="inlineStr">
        <is>
          <t>-</t>
        </is>
      </c>
      <c r="I59" s="25" t="inlineStr">
        <is>
          <t>-</t>
        </is>
      </c>
      <c r="J59" s="25" t="inlineStr">
        <is>
          <t>-</t>
        </is>
      </c>
      <c r="K59" s="25" t="inlineStr">
        <is>
          <t>-</t>
        </is>
      </c>
      <c r="L59" s="25" t="inlineStr">
        <is>
          <t>-</t>
        </is>
      </c>
    </row>
    <row r="60" ht="18.5" customHeight="1">
      <c r="A60" s="6" t="inlineStr">
        <is>
          <t xml:space="preserve">   Accrued interest, financial income and other revenues</t>
        </is>
      </c>
      <c r="B60" s="7" t="n">
        <v>-1216</v>
      </c>
      <c r="C60" s="7" t="n">
        <v>-1216</v>
      </c>
      <c r="D60" s="7" t="n">
        <v>-415</v>
      </c>
      <c r="E60" s="7" t="n">
        <v>-311</v>
      </c>
      <c r="F60" s="25" t="inlineStr">
        <is>
          <t>-</t>
        </is>
      </c>
      <c r="G60" s="25" t="inlineStr">
        <is>
          <t>-</t>
        </is>
      </c>
      <c r="H60" s="25" t="inlineStr">
        <is>
          <t>-</t>
        </is>
      </c>
      <c r="I60" s="25" t="inlineStr">
        <is>
          <t>-</t>
        </is>
      </c>
      <c r="J60" s="25" t="inlineStr">
        <is>
          <t>-</t>
        </is>
      </c>
      <c r="K60" s="25" t="inlineStr">
        <is>
          <t>-</t>
        </is>
      </c>
      <c r="L60" s="25" t="inlineStr">
        <is>
          <t>-</t>
        </is>
      </c>
    </row>
    <row r="61" ht="18.5" customHeight="1">
      <c r="A61" s="6" t="inlineStr">
        <is>
          <t xml:space="preserve">   Non cash interest expense and amortization of debt issuance costs and other charges</t>
        </is>
      </c>
      <c r="B61" s="7" t="n">
        <v>428</v>
      </c>
      <c r="C61" s="7" t="n">
        <v>396</v>
      </c>
      <c r="D61" s="7" t="n">
        <v>114</v>
      </c>
      <c r="E61" s="7" t="n">
        <v>113</v>
      </c>
      <c r="F61" s="25" t="inlineStr">
        <is>
          <t>-</t>
        </is>
      </c>
      <c r="G61" s="25" t="inlineStr">
        <is>
          <t>-</t>
        </is>
      </c>
      <c r="H61" s="25" t="inlineStr">
        <is>
          <t>-</t>
        </is>
      </c>
      <c r="I61" s="25" t="inlineStr">
        <is>
          <t>-</t>
        </is>
      </c>
      <c r="J61" s="25" t="inlineStr">
        <is>
          <t>-</t>
        </is>
      </c>
      <c r="K61" s="25" t="inlineStr">
        <is>
          <t>-</t>
        </is>
      </c>
      <c r="L61" s="25" t="inlineStr">
        <is>
          <t>-</t>
        </is>
      </c>
    </row>
    <row r="62" ht="18.5" customHeight="1">
      <c r="A62" s="6" t="inlineStr">
        <is>
          <t xml:space="preserve">   Provision for doubtful accounts</t>
        </is>
      </c>
      <c r="B62" s="7" t="n">
        <v>4318</v>
      </c>
      <c r="C62" s="7" t="n">
        <v>3091</v>
      </c>
      <c r="D62" s="7" t="n">
        <v>1858</v>
      </c>
      <c r="E62" s="7" t="n">
        <v>1050</v>
      </c>
      <c r="F62" s="25" t="inlineStr">
        <is>
          <t>-</t>
        </is>
      </c>
      <c r="G62" s="25" t="inlineStr">
        <is>
          <t>-</t>
        </is>
      </c>
      <c r="H62" s="25" t="inlineStr">
        <is>
          <t>-</t>
        </is>
      </c>
      <c r="I62" s="25" t="inlineStr">
        <is>
          <t>-</t>
        </is>
      </c>
      <c r="J62" s="25" t="inlineStr">
        <is>
          <t>-</t>
        </is>
      </c>
      <c r="K62" s="25" t="inlineStr">
        <is>
          <t>-</t>
        </is>
      </c>
      <c r="L62" s="25" t="inlineStr">
        <is>
          <t>-</t>
        </is>
      </c>
    </row>
    <row r="63" ht="18.5" customHeight="1">
      <c r="A63" s="6" t="inlineStr">
        <is>
          <t xml:space="preserve">   Provision for contingencies</t>
        </is>
      </c>
      <c r="B63" s="7" t="n">
        <v>106</v>
      </c>
      <c r="C63" s="7" t="n">
        <v>106</v>
      </c>
      <c r="D63" s="7" t="n">
        <v>176</v>
      </c>
      <c r="E63" s="7" t="n">
        <v>335</v>
      </c>
      <c r="F63" s="25" t="inlineStr">
        <is>
          <t>-</t>
        </is>
      </c>
      <c r="G63" s="25" t="inlineStr">
        <is>
          <t>-</t>
        </is>
      </c>
      <c r="H63" s="25" t="inlineStr">
        <is>
          <t>-</t>
        </is>
      </c>
      <c r="I63" s="25" t="inlineStr">
        <is>
          <t>-</t>
        </is>
      </c>
      <c r="J63" s="25" t="inlineStr">
        <is>
          <t>-</t>
        </is>
      </c>
      <c r="K63" s="25" t="inlineStr">
        <is>
          <t>-</t>
        </is>
      </c>
      <c r="L63" s="25" t="inlineStr">
        <is>
          <t>-</t>
        </is>
      </c>
    </row>
    <row r="64" ht="18.5" customHeight="1">
      <c r="A64" s="6" t="inlineStr">
        <is>
          <t xml:space="preserve">   Results on derivative instruments</t>
        </is>
      </c>
      <c r="B64" s="7" t="n">
        <v>218</v>
      </c>
      <c r="C64" s="7" t="n">
        <v>117</v>
      </c>
      <c r="D64" s="7" t="n">
        <v>-42</v>
      </c>
      <c r="E64" s="7" t="n">
        <v>39</v>
      </c>
      <c r="F64" s="25" t="inlineStr">
        <is>
          <t>-</t>
        </is>
      </c>
      <c r="G64" s="25" t="inlineStr">
        <is>
          <t>-</t>
        </is>
      </c>
      <c r="H64" s="25" t="inlineStr">
        <is>
          <t>-</t>
        </is>
      </c>
      <c r="I64" s="25" t="inlineStr">
        <is>
          <t>-</t>
        </is>
      </c>
      <c r="J64" s="25" t="inlineStr">
        <is>
          <t>-</t>
        </is>
      </c>
      <c r="K64" s="25" t="inlineStr">
        <is>
          <t>-</t>
        </is>
      </c>
      <c r="L64" s="25" t="inlineStr">
        <is>
          <t>-</t>
        </is>
      </c>
    </row>
    <row r="65" ht="18.5" customHeight="1">
      <c r="A65" s="6" t="inlineStr">
        <is>
          <t xml:space="preserve">   Results on digital assets at fair value</t>
        </is>
      </c>
      <c r="B65" s="7" t="n">
        <v>-6</v>
      </c>
      <c r="C65" s="7" t="n">
        <v>-10</v>
      </c>
      <c r="D65" s="7" t="n">
        <v>-25</v>
      </c>
      <c r="E65" s="7" t="n">
        <v>-14</v>
      </c>
      <c r="F65" s="25" t="inlineStr">
        <is>
          <t>-</t>
        </is>
      </c>
      <c r="G65" s="25" t="inlineStr">
        <is>
          <t>-</t>
        </is>
      </c>
      <c r="H65" s="25" t="inlineStr">
        <is>
          <t>-</t>
        </is>
      </c>
      <c r="I65" s="25" t="inlineStr">
        <is>
          <t>-</t>
        </is>
      </c>
      <c r="J65" s="25" t="inlineStr">
        <is>
          <t>-</t>
        </is>
      </c>
      <c r="K65" s="25" t="inlineStr">
        <is>
          <t>-</t>
        </is>
      </c>
      <c r="L65" s="25" t="inlineStr">
        <is>
          <t>-</t>
        </is>
      </c>
    </row>
    <row r="66" ht="18.5" customHeight="1">
      <c r="A66" s="6" t="inlineStr">
        <is>
          <t xml:space="preserve">   Deferred income taxes</t>
        </is>
      </c>
      <c r="B66" s="7" t="n">
        <v>-921</v>
      </c>
      <c r="C66" s="7" t="n">
        <v>-469</v>
      </c>
      <c r="D66" s="7" t="n">
        <v>-243</v>
      </c>
      <c r="E66" s="7" t="n">
        <v>-284</v>
      </c>
      <c r="F66" s="25" t="inlineStr">
        <is>
          <t>-</t>
        </is>
      </c>
      <c r="G66" s="25" t="inlineStr">
        <is>
          <t>-</t>
        </is>
      </c>
      <c r="H66" s="25" t="inlineStr">
        <is>
          <t>-</t>
        </is>
      </c>
      <c r="I66" s="25" t="inlineStr">
        <is>
          <t>-</t>
        </is>
      </c>
      <c r="J66" s="25" t="inlineStr">
        <is>
          <t>-</t>
        </is>
      </c>
      <c r="K66" s="25" t="inlineStr">
        <is>
          <t>-</t>
        </is>
      </c>
      <c r="L66" s="25" t="inlineStr">
        <is>
          <t>-</t>
        </is>
      </c>
    </row>
    <row r="67" ht="18.5" customHeight="1">
      <c r="A67" s="6" t="inlineStr">
        <is>
          <t xml:space="preserve">   Other assets</t>
        </is>
      </c>
      <c r="B67" s="7" t="n">
        <v>-427</v>
      </c>
      <c r="C67" s="7" t="n">
        <v>-491</v>
      </c>
      <c r="D67" s="7" t="n">
        <v>-308</v>
      </c>
      <c r="E67" s="7" t="n">
        <v>-55</v>
      </c>
      <c r="F67" s="25" t="inlineStr">
        <is>
          <t>-</t>
        </is>
      </c>
      <c r="G67" s="25" t="inlineStr">
        <is>
          <t>-</t>
        </is>
      </c>
      <c r="H67" s="25" t="inlineStr">
        <is>
          <t>-</t>
        </is>
      </c>
      <c r="I67" s="25" t="inlineStr">
        <is>
          <t>-</t>
        </is>
      </c>
      <c r="J67" s="25" t="inlineStr">
        <is>
          <t>-</t>
        </is>
      </c>
      <c r="K67" s="25" t="inlineStr">
        <is>
          <t>-</t>
        </is>
      </c>
      <c r="L67" s="25" t="inlineStr">
        <is>
          <t>-</t>
        </is>
      </c>
    </row>
    <row r="68" ht="18.5" customHeight="1">
      <c r="A68" s="6" t="inlineStr">
        <is>
          <t xml:space="preserve">   Payables and accrued expenses</t>
        </is>
      </c>
      <c r="B68" s="7" t="n">
        <v>2102</v>
      </c>
      <c r="C68" s="7" t="n">
        <v>1487</v>
      </c>
      <c r="D68" s="7" t="n">
        <v>1595</v>
      </c>
      <c r="E68" s="7" t="n">
        <v>1225</v>
      </c>
      <c r="F68" s="25" t="inlineStr">
        <is>
          <t>-</t>
        </is>
      </c>
      <c r="G68" s="25" t="inlineStr">
        <is>
          <t>-</t>
        </is>
      </c>
      <c r="H68" s="25" t="inlineStr">
        <is>
          <t>-</t>
        </is>
      </c>
      <c r="I68" s="25" t="inlineStr">
        <is>
          <t>-</t>
        </is>
      </c>
      <c r="J68" s="25" t="inlineStr">
        <is>
          <t>-</t>
        </is>
      </c>
      <c r="K68" s="25" t="inlineStr">
        <is>
          <t>-</t>
        </is>
      </c>
      <c r="L68" s="25" t="inlineStr">
        <is>
          <t>-</t>
        </is>
      </c>
    </row>
    <row r="69" ht="18.5" customHeight="1">
      <c r="A69" s="6" t="inlineStr">
        <is>
          <t xml:space="preserve">   Funds payable to customers</t>
        </is>
      </c>
      <c r="B69" s="7" t="n">
        <v>6161</v>
      </c>
      <c r="C69" s="7" t="n">
        <v>5341</v>
      </c>
      <c r="D69" s="7" t="n">
        <v>3605</v>
      </c>
      <c r="E69" s="7" t="n">
        <v>1502</v>
      </c>
      <c r="F69" s="25" t="inlineStr">
        <is>
          <t>-</t>
        </is>
      </c>
      <c r="G69" s="25" t="inlineStr">
        <is>
          <t>-</t>
        </is>
      </c>
      <c r="H69" s="25" t="inlineStr">
        <is>
          <t>-</t>
        </is>
      </c>
      <c r="I69" s="25" t="inlineStr">
        <is>
          <t>-</t>
        </is>
      </c>
      <c r="J69" s="25" t="inlineStr">
        <is>
          <t>-</t>
        </is>
      </c>
      <c r="K69" s="25" t="inlineStr">
        <is>
          <t>-</t>
        </is>
      </c>
      <c r="L69" s="25" t="inlineStr">
        <is>
          <t>-</t>
        </is>
      </c>
    </row>
    <row r="70" ht="18.5" customHeight="1">
      <c r="A70" s="6" t="inlineStr">
        <is>
          <t xml:space="preserve">   Amounts payable due to credit and debit card transactions</t>
        </is>
      </c>
      <c r="B70" s="7" t="n">
        <v>2386</v>
      </c>
      <c r="C70" s="7" t="n">
        <v>1592</v>
      </c>
      <c r="D70" s="7" t="n">
        <v>1213</v>
      </c>
      <c r="E70" s="7" t="n">
        <v>693</v>
      </c>
      <c r="F70" s="25" t="inlineStr">
        <is>
          <t>-</t>
        </is>
      </c>
      <c r="G70" s="25" t="inlineStr">
        <is>
          <t>-</t>
        </is>
      </c>
      <c r="H70" s="25" t="inlineStr">
        <is>
          <t>-</t>
        </is>
      </c>
      <c r="I70" s="25" t="inlineStr">
        <is>
          <t>-</t>
        </is>
      </c>
      <c r="J70" s="25" t="inlineStr">
        <is>
          <t>-</t>
        </is>
      </c>
      <c r="K70" s="25" t="inlineStr">
        <is>
          <t>-</t>
        </is>
      </c>
      <c r="L70" s="25" t="inlineStr">
        <is>
          <t>-</t>
        </is>
      </c>
    </row>
    <row r="71" ht="18.5" customHeight="1">
      <c r="A71" s="6" t="inlineStr">
        <is>
          <t xml:space="preserve">   Other liabilities</t>
        </is>
      </c>
      <c r="B71" s="7" t="n">
        <v>56</v>
      </c>
      <c r="C71" s="7" t="n">
        <v>145</v>
      </c>
      <c r="D71" s="7" t="n">
        <v>75</v>
      </c>
      <c r="E71" s="7" t="n">
        <v>80</v>
      </c>
      <c r="F71" s="25" t="inlineStr">
        <is>
          <t>-</t>
        </is>
      </c>
      <c r="G71" s="25" t="inlineStr">
        <is>
          <t>-</t>
        </is>
      </c>
      <c r="H71" s="25" t="inlineStr">
        <is>
          <t>-</t>
        </is>
      </c>
      <c r="I71" s="25" t="inlineStr">
        <is>
          <t>-</t>
        </is>
      </c>
      <c r="J71" s="25" t="inlineStr">
        <is>
          <t>-</t>
        </is>
      </c>
      <c r="K71" s="25" t="inlineStr">
        <is>
          <t>-</t>
        </is>
      </c>
      <c r="L71" s="25" t="inlineStr">
        <is>
          <t>-</t>
        </is>
      </c>
    </row>
    <row r="72" ht="18.5" customHeight="1">
      <c r="A72" s="6" t="inlineStr">
        <is>
          <t xml:space="preserve">   Operating lease liabilities</t>
        </is>
      </c>
      <c r="B72" s="7" t="n">
        <v>-465</v>
      </c>
      <c r="C72" s="7" t="n">
        <v>-408</v>
      </c>
      <c r="D72" s="7" t="n">
        <v>-189</v>
      </c>
      <c r="E72" s="7" t="n">
        <v>-168</v>
      </c>
      <c r="F72" s="25" t="inlineStr">
        <is>
          <t>-</t>
        </is>
      </c>
      <c r="G72" s="25" t="inlineStr">
        <is>
          <t>-</t>
        </is>
      </c>
      <c r="H72" s="25" t="inlineStr">
        <is>
          <t>-</t>
        </is>
      </c>
      <c r="I72" s="25" t="inlineStr">
        <is>
          <t>-</t>
        </is>
      </c>
      <c r="J72" s="25" t="inlineStr">
        <is>
          <t>-</t>
        </is>
      </c>
      <c r="K72" s="25" t="inlineStr">
        <is>
          <t>-</t>
        </is>
      </c>
      <c r="L72" s="25" t="inlineStr">
        <is>
          <t>-</t>
        </is>
      </c>
    </row>
    <row r="73" ht="18.5" customHeight="1">
      <c r="A73" s="6" t="inlineStr">
        <is>
          <t xml:space="preserve">   Interest received from investments</t>
        </is>
      </c>
      <c r="B73" s="7" t="n">
        <v>446</v>
      </c>
      <c r="C73" s="7" t="n">
        <v>584</v>
      </c>
      <c r="D73" s="7" t="n">
        <v>229</v>
      </c>
      <c r="E73" s="7" t="n">
        <v>255</v>
      </c>
      <c r="F73" s="25" t="inlineStr">
        <is>
          <t>-</t>
        </is>
      </c>
      <c r="G73" s="25" t="inlineStr">
        <is>
          <t>-</t>
        </is>
      </c>
      <c r="H73" s="25" t="inlineStr">
        <is>
          <t>-</t>
        </is>
      </c>
      <c r="I73" s="25" t="inlineStr">
        <is>
          <t>-</t>
        </is>
      </c>
      <c r="J73" s="25" t="inlineStr">
        <is>
          <t>-</t>
        </is>
      </c>
      <c r="K73" s="25" t="inlineStr">
        <is>
          <t>-</t>
        </is>
      </c>
      <c r="L73" s="25" t="inlineStr">
        <is>
          <t>-</t>
        </is>
      </c>
    </row>
    <row r="74" ht="18.5" customHeight="1">
      <c r="A74" s="6" t="inlineStr">
        <is>
          <t xml:space="preserve">   Proceeds from sale and maturity of investments</t>
        </is>
      </c>
      <c r="B74" s="7" t="n">
        <v>15927</v>
      </c>
      <c r="C74" s="7" t="n">
        <v>16590</v>
      </c>
      <c r="D74" s="7" t="n">
        <v>13962</v>
      </c>
      <c r="E74" s="7" t="n">
        <v>18100</v>
      </c>
      <c r="F74" s="25" t="inlineStr">
        <is>
          <t>-</t>
        </is>
      </c>
      <c r="G74" s="25" t="inlineStr">
        <is>
          <t>-</t>
        </is>
      </c>
      <c r="H74" s="25" t="inlineStr">
        <is>
          <t>-</t>
        </is>
      </c>
      <c r="I74" s="25" t="inlineStr">
        <is>
          <t>-</t>
        </is>
      </c>
      <c r="J74" s="25" t="inlineStr">
        <is>
          <t>-</t>
        </is>
      </c>
      <c r="K74" s="25" t="inlineStr">
        <is>
          <t>-</t>
        </is>
      </c>
      <c r="L74" s="25" t="inlineStr">
        <is>
          <t>-</t>
        </is>
      </c>
    </row>
    <row r="75" ht="18.5" customHeight="1">
      <c r="A75" s="6" t="inlineStr">
        <is>
          <t xml:space="preserve">   Proceeds from settlements of derivative instruments</t>
        </is>
      </c>
      <c r="B75" s="7" t="n">
        <v>24</v>
      </c>
      <c r="C75" s="7" t="n">
        <v>3</v>
      </c>
      <c r="D75" s="7" t="n">
        <v>29</v>
      </c>
      <c r="E75" s="7" t="n">
        <v>0</v>
      </c>
      <c r="F75" s="25" t="inlineStr">
        <is>
          <t>-</t>
        </is>
      </c>
      <c r="G75" s="25" t="inlineStr">
        <is>
          <t>-</t>
        </is>
      </c>
      <c r="H75" s="25" t="inlineStr">
        <is>
          <t>-</t>
        </is>
      </c>
      <c r="I75" s="25" t="inlineStr">
        <is>
          <t>-</t>
        </is>
      </c>
      <c r="J75" s="25" t="inlineStr">
        <is>
          <t>-</t>
        </is>
      </c>
      <c r="K75" s="25" t="inlineStr">
        <is>
          <t>-</t>
        </is>
      </c>
      <c r="L75" s="25" t="inlineStr">
        <is>
          <t>-</t>
        </is>
      </c>
    </row>
    <row r="76" ht="18.5" customHeight="1">
      <c r="A76" s="6" t="inlineStr">
        <is>
          <t xml:space="preserve">   Payments from settlements of derivative instruments</t>
        </is>
      </c>
      <c r="B76" s="7" t="n">
        <v>-191</v>
      </c>
      <c r="C76" s="7" t="n">
        <v>-91</v>
      </c>
      <c r="D76" s="7" t="n">
        <v>-14</v>
      </c>
      <c r="E76" s="7" t="n">
        <v>-58</v>
      </c>
      <c r="F76" s="25" t="inlineStr">
        <is>
          <t>-</t>
        </is>
      </c>
      <c r="G76" s="25" t="inlineStr">
        <is>
          <t>-</t>
        </is>
      </c>
      <c r="H76" s="25" t="inlineStr">
        <is>
          <t>-</t>
        </is>
      </c>
      <c r="I76" s="25" t="inlineStr">
        <is>
          <t>-</t>
        </is>
      </c>
      <c r="J76" s="25" t="inlineStr">
        <is>
          <t>-</t>
        </is>
      </c>
      <c r="K76" s="25" t="inlineStr">
        <is>
          <t>-</t>
        </is>
      </c>
      <c r="L76" s="25" t="inlineStr">
        <is>
          <t>-</t>
        </is>
      </c>
    </row>
    <row r="77" ht="18.5" customHeight="1">
      <c r="A77" s="6" t="inlineStr">
        <is>
          <t xml:space="preserve">   Changes in loans receivable, net</t>
        </is>
      </c>
      <c r="B77" s="7" t="n">
        <v>-7872</v>
      </c>
      <c r="C77" s="7" t="n">
        <v>-6659</v>
      </c>
      <c r="D77" s="7" t="n">
        <v>-4688</v>
      </c>
      <c r="E77" s="7" t="n">
        <v>-2047</v>
      </c>
      <c r="F77" s="25" t="inlineStr">
        <is>
          <t>-</t>
        </is>
      </c>
      <c r="G77" s="25" t="inlineStr">
        <is>
          <t>-</t>
        </is>
      </c>
      <c r="H77" s="25" t="inlineStr">
        <is>
          <t>-</t>
        </is>
      </c>
      <c r="I77" s="25" t="inlineStr">
        <is>
          <t>-</t>
        </is>
      </c>
      <c r="J77" s="25" t="inlineStr">
        <is>
          <t>-</t>
        </is>
      </c>
      <c r="K77" s="25" t="inlineStr">
        <is>
          <t>-</t>
        </is>
      </c>
      <c r="L77" s="25" t="inlineStr">
        <is>
          <t>-</t>
        </is>
      </c>
    </row>
    <row r="78" ht="18.5" customHeight="1">
      <c r="A78" s="6" t="inlineStr">
        <is>
          <t xml:space="preserve">   Investments in property and equipment, intangible assets and intangible assets at fair value</t>
        </is>
      </c>
      <c r="B78" s="7" t="n">
        <v>-1496</v>
      </c>
      <c r="C78" s="7" t="n">
        <v>-1343</v>
      </c>
      <c r="D78" s="7" t="n">
        <v>-860</v>
      </c>
      <c r="E78" s="7" t="n">
        <v>-509</v>
      </c>
      <c r="F78" s="25" t="inlineStr">
        <is>
          <t>-</t>
        </is>
      </c>
      <c r="G78" s="25" t="inlineStr">
        <is>
          <t>-</t>
        </is>
      </c>
      <c r="H78" s="25" t="inlineStr">
        <is>
          <t>-</t>
        </is>
      </c>
      <c r="I78" s="25" t="inlineStr">
        <is>
          <t>-</t>
        </is>
      </c>
      <c r="J78" s="25" t="inlineStr">
        <is>
          <t>-</t>
        </is>
      </c>
      <c r="K78" s="25" t="inlineStr">
        <is>
          <t>-</t>
        </is>
      </c>
      <c r="L78" s="25" t="inlineStr">
        <is>
          <t>-</t>
        </is>
      </c>
    </row>
    <row r="79" ht="18.5" customHeight="1">
      <c r="A79" s="6" t="inlineStr">
        <is>
          <t xml:space="preserve">   Proceeds from sales of intangible assets at fair value</t>
        </is>
      </c>
      <c r="B79" s="7" t="n">
        <v>75</v>
      </c>
      <c r="C79" s="7" t="n">
        <v>75</v>
      </c>
      <c r="D79" s="7" t="n">
        <v>0</v>
      </c>
      <c r="E79" s="7" t="n">
        <v>0</v>
      </c>
      <c r="F79" s="25" t="inlineStr">
        <is>
          <t>-</t>
        </is>
      </c>
      <c r="G79" s="25" t="inlineStr">
        <is>
          <t>-</t>
        </is>
      </c>
      <c r="H79" s="25" t="inlineStr">
        <is>
          <t>-</t>
        </is>
      </c>
      <c r="I79" s="25" t="inlineStr">
        <is>
          <t>-</t>
        </is>
      </c>
      <c r="J79" s="25" t="inlineStr">
        <is>
          <t>-</t>
        </is>
      </c>
      <c r="K79" s="25" t="inlineStr">
        <is>
          <t>-</t>
        </is>
      </c>
      <c r="L79" s="25" t="inlineStr">
        <is>
          <t>-</t>
        </is>
      </c>
    </row>
    <row r="80" ht="18.5" customHeight="1">
      <c r="A80" s="6" t="inlineStr">
        <is>
          <t xml:space="preserve">   Proceeds from loans payable and other financial liabilities</t>
        </is>
      </c>
      <c r="B80" s="7" t="n">
        <v>67869</v>
      </c>
      <c r="C80" s="7" t="n">
        <v>44050</v>
      </c>
      <c r="D80" s="7" t="n">
        <v>19472</v>
      </c>
      <c r="E80" s="7" t="n">
        <v>24963</v>
      </c>
      <c r="F80" s="25" t="inlineStr">
        <is>
          <t>-</t>
        </is>
      </c>
      <c r="G80" s="25" t="inlineStr">
        <is>
          <t>-</t>
        </is>
      </c>
      <c r="H80" s="25" t="inlineStr">
        <is>
          <t>-</t>
        </is>
      </c>
      <c r="I80" s="25" t="inlineStr">
        <is>
          <t>-</t>
        </is>
      </c>
      <c r="J80" s="25" t="inlineStr">
        <is>
          <t>-</t>
        </is>
      </c>
      <c r="K80" s="25" t="inlineStr">
        <is>
          <t>-</t>
        </is>
      </c>
      <c r="L80" s="25" t="inlineStr">
        <is>
          <t>-</t>
        </is>
      </c>
    </row>
    <row r="81" ht="18.5" customHeight="1">
      <c r="A81" s="6" t="inlineStr">
        <is>
          <t xml:space="preserve">   Payments on loans payable and other financing liabilities</t>
        </is>
      </c>
      <c r="B81" s="7" t="n">
        <v>-64875</v>
      </c>
      <c r="C81" s="7" t="n">
        <v>-41088</v>
      </c>
      <c r="D81" s="7" t="n">
        <v>-17461</v>
      </c>
      <c r="E81" s="7" t="n">
        <v>-24841</v>
      </c>
      <c r="F81" s="25" t="inlineStr">
        <is>
          <t>-</t>
        </is>
      </c>
      <c r="G81" s="25" t="inlineStr">
        <is>
          <t>-</t>
        </is>
      </c>
      <c r="H81" s="25" t="inlineStr">
        <is>
          <t>-</t>
        </is>
      </c>
      <c r="I81" s="25" t="inlineStr">
        <is>
          <t>-</t>
        </is>
      </c>
      <c r="J81" s="25" t="inlineStr">
        <is>
          <t>-</t>
        </is>
      </c>
      <c r="K81" s="25" t="inlineStr">
        <is>
          <t>-</t>
        </is>
      </c>
      <c r="L81" s="25" t="inlineStr">
        <is>
          <t>-</t>
        </is>
      </c>
    </row>
    <row r="82" ht="18.5" customHeight="1">
      <c r="A82" s="6" t="inlineStr">
        <is>
          <t xml:space="preserve">   Payments of finance lease liabilities</t>
        </is>
      </c>
      <c r="B82" s="7" t="n">
        <v>-63</v>
      </c>
      <c r="C82" s="7" t="n">
        <v>-57</v>
      </c>
      <c r="D82" s="7" t="n">
        <v>-51</v>
      </c>
      <c r="E82" s="7" t="n">
        <v>-33</v>
      </c>
      <c r="F82" s="25" t="inlineStr">
        <is>
          <t>-</t>
        </is>
      </c>
      <c r="G82" s="25" t="inlineStr">
        <is>
          <t>-</t>
        </is>
      </c>
      <c r="H82" s="25" t="inlineStr">
        <is>
          <t>-</t>
        </is>
      </c>
      <c r="I82" s="25" t="inlineStr">
        <is>
          <t>-</t>
        </is>
      </c>
      <c r="J82" s="25" t="inlineStr">
        <is>
          <t>-</t>
        </is>
      </c>
      <c r="K82" s="25" t="inlineStr">
        <is>
          <t>-</t>
        </is>
      </c>
      <c r="L82" s="25" t="inlineStr">
        <is>
          <t>-</t>
        </is>
      </c>
    </row>
    <row r="83" ht="18.5" customHeight="1">
      <c r="A83" s="6" t="inlineStr">
        <is>
          <t xml:space="preserve">   Cash paid for income tax</t>
        </is>
      </c>
      <c r="B83" s="7" t="n">
        <v>1013</v>
      </c>
      <c r="C83" s="7" t="n">
        <v>1013</v>
      </c>
      <c r="D83" s="7" t="n">
        <v>1052</v>
      </c>
      <c r="E83" s="7" t="n">
        <v>651</v>
      </c>
      <c r="F83" s="25" t="inlineStr">
        <is>
          <t>-</t>
        </is>
      </c>
      <c r="G83" s="25" t="inlineStr">
        <is>
          <t>-</t>
        </is>
      </c>
      <c r="H83" s="25" t="inlineStr">
        <is>
          <t>-</t>
        </is>
      </c>
      <c r="I83" s="25" t="inlineStr">
        <is>
          <t>-</t>
        </is>
      </c>
      <c r="J83" s="25" t="inlineStr">
        <is>
          <t>-</t>
        </is>
      </c>
      <c r="K83" s="25" t="inlineStr">
        <is>
          <t>-</t>
        </is>
      </c>
      <c r="L83" s="25" t="inlineStr">
        <is>
          <t>-</t>
        </is>
      </c>
    </row>
    <row r="84" ht="18.5" customHeight="1">
      <c r="A84" s="6" t="inlineStr">
        <is>
          <t xml:space="preserve">   Finance lease liabilities</t>
        </is>
      </c>
      <c r="B84" s="7" t="n">
        <v>40</v>
      </c>
      <c r="C84" s="7" t="n">
        <v>40</v>
      </c>
      <c r="D84" s="7" t="n">
        <v>52</v>
      </c>
      <c r="E84" s="7" t="n">
        <v>99</v>
      </c>
      <c r="F84" s="25" t="inlineStr">
        <is>
          <t>-</t>
        </is>
      </c>
      <c r="G84" s="25" t="inlineStr">
        <is>
          <t>-</t>
        </is>
      </c>
      <c r="H84" s="25" t="inlineStr">
        <is>
          <t>-</t>
        </is>
      </c>
      <c r="I84" s="25" t="inlineStr">
        <is>
          <t>-</t>
        </is>
      </c>
      <c r="J84" s="25" t="inlineStr">
        <is>
          <t>-</t>
        </is>
      </c>
      <c r="K84" s="25" t="inlineStr">
        <is>
          <t>-</t>
        </is>
      </c>
      <c r="L84" s="25" t="inlineStr">
        <is>
          <t>-</t>
        </is>
      </c>
    </row>
    <row r="85" ht="18.5" customHeight="1">
      <c r="A85" s="6" t="inlineStr">
        <is>
          <t xml:space="preserve">   Convertible Senior Notes Due 2028</t>
        </is>
      </c>
      <c r="B85" s="7" t="n">
        <v>0</v>
      </c>
      <c r="C85" s="7" t="n">
        <v>0</v>
      </c>
      <c r="D85" s="7" t="n">
        <v>0</v>
      </c>
      <c r="E85" s="7" t="n">
        <v>437</v>
      </c>
      <c r="F85" s="25" t="inlineStr">
        <is>
          <t>-</t>
        </is>
      </c>
      <c r="G85" s="25" t="inlineStr">
        <is>
          <t>-</t>
        </is>
      </c>
      <c r="H85" s="25" t="inlineStr">
        <is>
          <t>-</t>
        </is>
      </c>
      <c r="I85" s="25" t="inlineStr">
        <is>
          <t>-</t>
        </is>
      </c>
      <c r="J85" s="25" t="inlineStr">
        <is>
          <t>-</t>
        </is>
      </c>
      <c r="K85" s="25" t="inlineStr">
        <is>
          <t>-</t>
        </is>
      </c>
      <c r="L85" s="25" t="inlineStr">
        <is>
          <t>-</t>
        </is>
      </c>
    </row>
    <row r="86" ht="18.5" customHeight="1">
      <c r="A86" s="6" t="inlineStr">
        <is>
          <t xml:space="preserve">   Right-of-use assets obtained under operating leases</t>
        </is>
      </c>
      <c r="B86" s="7" t="n">
        <v>1083</v>
      </c>
      <c r="C86" s="7" t="n">
        <v>1202</v>
      </c>
      <c r="D86" s="7" t="n">
        <v>516</v>
      </c>
      <c r="E86" s="7" t="n">
        <v>314</v>
      </c>
      <c r="F86" s="25" t="inlineStr">
        <is>
          <t>-</t>
        </is>
      </c>
      <c r="G86" s="25" t="inlineStr">
        <is>
          <t>-</t>
        </is>
      </c>
      <c r="H86" s="25" t="inlineStr">
        <is>
          <t>-</t>
        </is>
      </c>
      <c r="I86" s="25" t="inlineStr">
        <is>
          <t>-</t>
        </is>
      </c>
      <c r="J86" s="25" t="inlineStr">
        <is>
          <t>-</t>
        </is>
      </c>
      <c r="K86" s="25" t="inlineStr">
        <is>
          <t>-</t>
        </is>
      </c>
      <c r="L86" s="25" t="inlineStr">
        <is>
          <t>-</t>
        </is>
      </c>
    </row>
    <row r="87" ht="18.5" customHeight="1">
      <c r="A87" s="6" t="inlineStr">
        <is>
          <t xml:space="preserve">   Property and equipment obtained under finance leases</t>
        </is>
      </c>
      <c r="B87" s="7" t="n">
        <v>46</v>
      </c>
      <c r="C87" s="7" t="n">
        <v>40</v>
      </c>
      <c r="D87" s="7" t="n">
        <v>52</v>
      </c>
      <c r="E87" s="7" t="n">
        <v>99</v>
      </c>
      <c r="F87" s="25" t="inlineStr">
        <is>
          <t>-</t>
        </is>
      </c>
      <c r="G87" s="25" t="inlineStr">
        <is>
          <t>-</t>
        </is>
      </c>
      <c r="H87" s="25" t="inlineStr">
        <is>
          <t>-</t>
        </is>
      </c>
      <c r="I87" s="25" t="inlineStr">
        <is>
          <t>-</t>
        </is>
      </c>
      <c r="J87" s="25" t="inlineStr">
        <is>
          <t>-</t>
        </is>
      </c>
      <c r="K87" s="25" t="inlineStr">
        <is>
          <t>-</t>
        </is>
      </c>
      <c r="L87" s="25" t="inlineStr">
        <is>
          <t>-</t>
        </is>
      </c>
    </row>
    <row r="88" ht="18.5" customHeight="1">
      <c r="A88" s="6" t="inlineStr">
        <is>
          <t xml:space="preserve">   Contingent considerations and escrows from acquired business</t>
        </is>
      </c>
      <c r="B88" s="7" t="n">
        <v>0</v>
      </c>
      <c r="C88" s="7" t="n">
        <v>0</v>
      </c>
      <c r="D88" s="7" t="n">
        <v>4</v>
      </c>
      <c r="E88" s="7" t="n">
        <v>0</v>
      </c>
      <c r="F88" s="25" t="inlineStr">
        <is>
          <t>-</t>
        </is>
      </c>
      <c r="G88" s="25" t="inlineStr">
        <is>
          <t>-</t>
        </is>
      </c>
      <c r="H88" s="25" t="inlineStr">
        <is>
          <t>-</t>
        </is>
      </c>
      <c r="I88" s="25" t="inlineStr">
        <is>
          <t>-</t>
        </is>
      </c>
      <c r="J88" s="25" t="inlineStr">
        <is>
          <t>-</t>
        </is>
      </c>
      <c r="K88" s="25" t="inlineStr">
        <is>
          <t>-</t>
        </is>
      </c>
      <c r="L88" s="25" t="inlineStr">
        <is>
          <t>-</t>
        </is>
      </c>
    </row>
    <row r="89" ht="18.5" customHeight="1">
      <c r="A89" s="6" t="inlineStr">
        <is>
          <t xml:space="preserve">   Investments in intangible assets not paid</t>
        </is>
      </c>
      <c r="B89" s="7" t="n">
        <v>-3</v>
      </c>
      <c r="C89" s="7" t="n">
        <v>20</v>
      </c>
      <c r="D89" s="7" t="n">
        <v>0</v>
      </c>
      <c r="E89" s="7" t="n">
        <v>0</v>
      </c>
      <c r="F89" s="25" t="inlineStr">
        <is>
          <t>-</t>
        </is>
      </c>
      <c r="G89" s="25" t="inlineStr">
        <is>
          <t>-</t>
        </is>
      </c>
      <c r="H89" s="25" t="inlineStr">
        <is>
          <t>-</t>
        </is>
      </c>
      <c r="I89" s="25" t="inlineStr">
        <is>
          <t>-</t>
        </is>
      </c>
      <c r="J89" s="25" t="inlineStr">
        <is>
          <t>-</t>
        </is>
      </c>
      <c r="K89" s="25" t="inlineStr">
        <is>
          <t>-</t>
        </is>
      </c>
      <c r="L89" s="2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14.5" customWidth="1" min="2" max="2"/>
    <col width="14.5"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s>
  <sheetData>
    <row r="1" ht="30" customHeight="1">
      <c r="A1" s="1" t="inlineStr">
        <is>
          <t>MERCADOLIBRE INC (MELI) - Desglose de Ventas</t>
        </is>
      </c>
    </row>
    <row r="2" ht="18" customHeight="1">
      <c r="A2" s="2" t="inlineStr">
        <is>
          <t>Ingresos por línea de producto y por región geográfica en Millones de USD ($M)</t>
        </is>
      </c>
    </row>
    <row r="3" ht="8" customHeight="1"/>
    <row r="4" ht="25" customHeight="1">
      <c r="A4" s="3" t="inlineStr">
        <is>
          <t>Segmento / Línea de Negocio</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22" customHeight="1">
      <c r="A5" s="18" t="inlineStr">
        <is>
          <t>VENTAS POR LÍNEA DE PRODUCTO / SERVICIO / MARCA</t>
        </is>
      </c>
      <c r="B5" s="19" t="n"/>
      <c r="C5" s="19" t="n"/>
      <c r="D5" s="19" t="n"/>
      <c r="E5" s="19" t="n"/>
      <c r="F5" s="19" t="n"/>
      <c r="G5" s="19" t="n"/>
      <c r="H5" s="19" t="n"/>
      <c r="I5" s="19" t="n"/>
      <c r="J5" s="19" t="n"/>
      <c r="K5" s="19" t="n"/>
      <c r="L5" s="19" t="n"/>
    </row>
    <row r="6" ht="18.5" customHeight="1">
      <c r="A6" s="6" t="inlineStr">
        <is>
          <t xml:space="preserve">   Segmento Comercio Electrónico</t>
        </is>
      </c>
      <c r="B6" s="7" t="n">
        <v>19350.1</v>
      </c>
      <c r="C6" s="7" t="n">
        <v>15891.2</v>
      </c>
      <c r="D6" s="7" t="n">
        <v>11427.4</v>
      </c>
      <c r="E6" s="7" t="n">
        <v>7960.2</v>
      </c>
      <c r="F6" s="7" t="n">
        <v>5795.4</v>
      </c>
      <c r="G6" s="7" t="n">
        <v>3888.2</v>
      </c>
      <c r="H6" s="7" t="n">
        <v>2185.4</v>
      </c>
      <c r="I6" s="7" t="n">
        <v>1263</v>
      </c>
      <c r="J6" s="7" t="n">
        <v>791.8</v>
      </c>
      <c r="K6" s="7" t="n">
        <v>769</v>
      </c>
      <c r="L6" s="7" t="n">
        <v>464.4</v>
      </c>
    </row>
    <row r="7" ht="18.5" customHeight="1">
      <c r="A7" s="6" t="inlineStr">
        <is>
          <t xml:space="preserve">   Segmento FinTech y Servicios Financieros</t>
        </is>
      </c>
      <c r="B7" s="7" t="n">
        <v>15831.9</v>
      </c>
      <c r="C7" s="7" t="n">
        <v>13001.9</v>
      </c>
      <c r="D7" s="7" t="n">
        <v>9349.6</v>
      </c>
      <c r="E7" s="7" t="n">
        <v>6512.9</v>
      </c>
      <c r="F7" s="7" t="n">
        <v>4741.7</v>
      </c>
      <c r="G7" s="7" t="n">
        <v>3181.2</v>
      </c>
      <c r="H7" s="7" t="n">
        <v>1788.1</v>
      </c>
      <c r="I7" s="7" t="n">
        <v>1033.3</v>
      </c>
      <c r="J7" s="7" t="n">
        <v>647.8</v>
      </c>
      <c r="K7" s="7" t="n">
        <v>629.1</v>
      </c>
      <c r="L7" s="7" t="n">
        <v>380</v>
      </c>
    </row>
    <row r="8" ht="10" customHeight="1"/>
    <row r="9" ht="22" customHeight="1">
      <c r="A9" s="18" t="inlineStr">
        <is>
          <t>VENTAS POR REGIÓN GEOGRÁFICA</t>
        </is>
      </c>
      <c r="B9" s="19" t="n"/>
      <c r="C9" s="19" t="n"/>
      <c r="D9" s="19" t="n"/>
      <c r="E9" s="19" t="n"/>
      <c r="F9" s="19" t="n"/>
      <c r="G9" s="19" t="n"/>
      <c r="H9" s="19" t="n"/>
      <c r="I9" s="19" t="n"/>
      <c r="J9" s="19" t="n"/>
      <c r="K9" s="19" t="n"/>
      <c r="L9" s="19" t="n"/>
    </row>
    <row r="10" ht="18.5" customHeight="1">
      <c r="A10" s="6" t="inlineStr">
        <is>
          <t xml:space="preserve">   Brasil</t>
        </is>
      </c>
      <c r="B10" s="7" t="n">
        <v>18822.4</v>
      </c>
      <c r="C10" s="7" t="n">
        <v>15457.8</v>
      </c>
      <c r="D10" s="7" t="n">
        <v>11115.7</v>
      </c>
      <c r="E10" s="7" t="n">
        <v>7743.1</v>
      </c>
      <c r="F10" s="7" t="n">
        <v>5637.3</v>
      </c>
      <c r="G10" s="7" t="n">
        <v>3782.1</v>
      </c>
      <c r="H10" s="7" t="n">
        <v>2125.8</v>
      </c>
      <c r="I10" s="7" t="n">
        <v>1228.5</v>
      </c>
      <c r="J10" s="7" t="n">
        <v>770.2</v>
      </c>
      <c r="K10" s="7" t="n">
        <v>748</v>
      </c>
      <c r="L10" s="7" t="n">
        <v>451.8</v>
      </c>
    </row>
    <row r="11" ht="18.5" customHeight="1">
      <c r="A11" s="6" t="inlineStr">
        <is>
          <t xml:space="preserve">   México</t>
        </is>
      </c>
      <c r="B11" s="7" t="n">
        <v>8514</v>
      </c>
      <c r="C11" s="7" t="n">
        <v>6992.1</v>
      </c>
      <c r="D11" s="7" t="n">
        <v>5028</v>
      </c>
      <c r="E11" s="7" t="n">
        <v>3502.5</v>
      </c>
      <c r="F11" s="7" t="n">
        <v>2550</v>
      </c>
      <c r="G11" s="7" t="n">
        <v>1710.8</v>
      </c>
      <c r="H11" s="7" t="n">
        <v>961.6</v>
      </c>
      <c r="I11" s="7" t="n">
        <v>555.7</v>
      </c>
      <c r="J11" s="7" t="n">
        <v>348.4</v>
      </c>
      <c r="K11" s="7" t="n">
        <v>338.3</v>
      </c>
      <c r="L11" s="7" t="n">
        <v>204.3</v>
      </c>
    </row>
    <row r="12" ht="18.5" customHeight="1">
      <c r="A12" s="6" t="inlineStr">
        <is>
          <t xml:space="preserve">   Argentina</t>
        </is>
      </c>
      <c r="B12" s="7" t="n">
        <v>6367.9</v>
      </c>
      <c r="C12" s="7" t="n">
        <v>5229.6</v>
      </c>
      <c r="D12" s="7" t="n">
        <v>3760.6</v>
      </c>
      <c r="E12" s="7" t="n">
        <v>2619.6</v>
      </c>
      <c r="F12" s="7" t="n">
        <v>1907.2</v>
      </c>
      <c r="G12" s="7" t="n">
        <v>1279.6</v>
      </c>
      <c r="H12" s="7" t="n">
        <v>719.2</v>
      </c>
      <c r="I12" s="7" t="n">
        <v>415.6</v>
      </c>
      <c r="J12" s="7" t="n">
        <v>260.6</v>
      </c>
      <c r="K12" s="7" t="n">
        <v>253.1</v>
      </c>
      <c r="L12" s="7" t="n">
        <v>152.8</v>
      </c>
    </row>
    <row r="13" ht="18.5" customHeight="1">
      <c r="A13" s="6" t="inlineStr">
        <is>
          <t xml:space="preserve">   Otros Mercados Internacionales</t>
        </is>
      </c>
      <c r="B13" s="7" t="n">
        <v>1477.6</v>
      </c>
      <c r="C13" s="7" t="n">
        <v>1213.5</v>
      </c>
      <c r="D13" s="7" t="n">
        <v>872.6</v>
      </c>
      <c r="E13" s="7" t="n">
        <v>607.9</v>
      </c>
      <c r="F13" s="7" t="n">
        <v>442.6</v>
      </c>
      <c r="G13" s="7" t="n">
        <v>296.9</v>
      </c>
      <c r="H13" s="7" t="n">
        <v>166.9</v>
      </c>
      <c r="I13" s="7" t="n">
        <v>96.40000000000001</v>
      </c>
      <c r="J13" s="7" t="n">
        <v>60.5</v>
      </c>
      <c r="K13" s="7" t="n">
        <v>58.7</v>
      </c>
      <c r="L13" s="7" t="n">
        <v>35.5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9"/>
  <sheetViews>
    <sheetView showGridLines="1" workbookViewId="0">
      <pane xSplit="3" ySplit="7" topLeftCell="D8" activePane="bottomRight" state="frozen"/>
      <selection pane="topRight"/>
      <selection pane="bottomLeft"/>
      <selection pane="bottom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MERCADOLIBRE INC (MELI) - Diagnóstico Fundamental: Piotroski F-Score &amp; Mohanram G-Score</t>
        </is>
      </c>
    </row>
    <row r="2" ht="18" customHeight="1">
      <c r="A2" s="2" t="inlineStr">
        <is>
          <t>Evaluación Cuantitativa de Solvencia Interna (0-9 Pts) y Calidad de Crecimiento Sectorial (0-8 Pts) | Mejoras Institucionales V2</t>
        </is>
      </c>
    </row>
    <row r="3" ht="8" customHeight="1"/>
    <row r="4" ht="22" customHeight="1">
      <c r="A4" s="18" t="inlineStr">
        <is>
          <t>DIAGNÓSTICO ESTRATÉGICO ACTUAL</t>
        </is>
      </c>
      <c r="B4" s="29" t="inlineStr">
        <is>
          <t>Período: LTM</t>
        </is>
      </c>
      <c r="C4" s="29" t="inlineStr">
        <is>
          <t>F-Score: 5/9 (SALUD MODERADA)</t>
        </is>
      </c>
      <c r="D4" s="29" t="inlineStr">
        <is>
          <t>G-Score: 4/8 (CRECIMIENTO PROMEDIO)</t>
        </is>
      </c>
      <c r="E4" s="30" t="inlineStr">
        <is>
          <t>Sector: SIC 7389 - E-Commerce Marketplaces &amp; Platform Services</t>
        </is>
      </c>
      <c r="F4" s="31" t="n"/>
      <c r="G4" s="31" t="n"/>
      <c r="H4" s="31" t="n"/>
      <c r="I4" s="31" t="n"/>
      <c r="J4" s="31" t="n"/>
      <c r="K4" s="31" t="n"/>
      <c r="L4" s="31" t="n"/>
      <c r="M4" s="31" t="n"/>
      <c r="N4" s="31" t="n"/>
    </row>
    <row r="5" ht="36" customHeight="1">
      <c r="A5" s="32" t="inlineStr">
        <is>
          <t>CLASIFICACIÓN MATRIZ:</t>
        </is>
      </c>
      <c r="B5" s="33" t="inlineStr">
        <is>
          <t>🚨 TRAMPA DE VALOR / DETERIORO</t>
        </is>
      </c>
      <c r="C5" s="34" t="inlineStr">
        <is>
          <t>Alerta roja fundamental: Balances en deterioro, pérdida de margen operativo o desalineación de flujo de caja combinados con retornos rezagados respecto a sus competidores. Alto riesgo de pérdida permanente.</t>
        </is>
      </c>
    </row>
    <row r="6" ht="10" customHeight="1"/>
    <row r="7" ht="25" customHeight="1">
      <c r="A7" s="3" t="inlineStr">
        <is>
          <t>Criterio Fundamental (Piotroski 2000)</t>
        </is>
      </c>
      <c r="B7" s="3" t="inlineStr">
        <is>
          <t>Categoría</t>
        </is>
      </c>
      <c r="C7" s="3" t="inlineStr">
        <is>
          <t>Umbral / Regla</t>
        </is>
      </c>
      <c r="D7" s="4" t="inlineStr">
        <is>
          <t>LTM</t>
        </is>
      </c>
      <c r="E7" s="5" t="inlineStr">
        <is>
          <t>FY2025</t>
        </is>
      </c>
      <c r="F7" s="5" t="inlineStr">
        <is>
          <t>FY2024</t>
        </is>
      </c>
      <c r="G7" s="5" t="inlineStr">
        <is>
          <t>FY2023</t>
        </is>
      </c>
      <c r="H7" s="5" t="inlineStr">
        <is>
          <t>FY2022</t>
        </is>
      </c>
      <c r="I7" s="5" t="inlineStr">
        <is>
          <t>FY2021</t>
        </is>
      </c>
      <c r="J7" s="5" t="inlineStr">
        <is>
          <t>FY2020</t>
        </is>
      </c>
      <c r="K7" s="5" t="inlineStr">
        <is>
          <t>FY2019</t>
        </is>
      </c>
      <c r="L7" s="5" t="inlineStr">
        <is>
          <t>FY2018</t>
        </is>
      </c>
      <c r="M7" s="5" t="inlineStr">
        <is>
          <t>FY2017</t>
        </is>
      </c>
      <c r="N7" s="5" t="inlineStr">
        <is>
          <t>FY2016</t>
        </is>
      </c>
    </row>
    <row r="8" ht="18.5" customHeight="1">
      <c r="A8" s="6" t="inlineStr">
        <is>
          <t xml:space="preserve">   ROA Positivo</t>
        </is>
      </c>
      <c r="B8" s="35" t="inlineStr">
        <is>
          <t>Rentabilidad</t>
        </is>
      </c>
      <c r="C8" s="6" t="inlineStr">
        <is>
          <t>Net Income / Activos t-1 &gt; 0</t>
        </is>
      </c>
      <c r="D8" s="36" t="inlineStr">
        <is>
          <t>4.37% [1]</t>
        </is>
      </c>
      <c r="E8" s="36" t="inlineStr">
        <is>
          <t>7.93% [1]</t>
        </is>
      </c>
      <c r="F8" s="36" t="inlineStr">
        <is>
          <t>10.83% [1]</t>
        </is>
      </c>
      <c r="G8" s="36" t="inlineStr">
        <is>
          <t>7.19% [1]</t>
        </is>
      </c>
      <c r="H8" s="36" t="inlineStr">
        <is>
          <t>4.77% [1]</t>
        </is>
      </c>
      <c r="I8" s="36" t="inlineStr">
        <is>
          <t>1.28% [1]</t>
        </is>
      </c>
      <c r="J8" s="37" t="inlineStr">
        <is>
          <t>-0.01% [0]</t>
        </is>
      </c>
      <c r="K8" s="37" t="inlineStr">
        <is>
          <t>-7.68% [0]</t>
        </is>
      </c>
      <c r="L8" s="37" t="inlineStr">
        <is>
          <t>-0.14% [0]</t>
        </is>
      </c>
      <c r="M8" s="37" t="inlineStr">
        <is>
          <t>-4.95% [0]</t>
        </is>
      </c>
      <c r="N8" s="36" t="inlineStr">
        <is>
          <t>9.97% [1]</t>
        </is>
      </c>
    </row>
    <row r="9" ht="18.5" customHeight="1">
      <c r="A9" s="6" t="inlineStr">
        <is>
          <t xml:space="preserve">   CFO Positivo</t>
        </is>
      </c>
      <c r="B9" s="35" t="inlineStr">
        <is>
          <t>Rentabilidad</t>
        </is>
      </c>
      <c r="C9" s="6" t="inlineStr">
        <is>
          <t>Operating Cash Flow &gt; 0</t>
        </is>
      </c>
      <c r="D9" s="36" t="inlineStr">
        <is>
          <t>$13,905.0M [1]</t>
        </is>
      </c>
      <c r="E9" s="36" t="inlineStr">
        <is>
          <t>$12,116.0M [1]</t>
        </is>
      </c>
      <c r="F9" s="36" t="inlineStr">
        <is>
          <t>$7,918.0M [1]</t>
        </is>
      </c>
      <c r="G9" s="36" t="inlineStr">
        <is>
          <t>$5,140.0M [1]</t>
        </is>
      </c>
      <c r="H9" s="36" t="inlineStr">
        <is>
          <t>$2,940.0M [1]</t>
        </is>
      </c>
      <c r="I9" s="36" t="inlineStr">
        <is>
          <t>$965.0M [1]</t>
        </is>
      </c>
      <c r="J9" s="36" t="inlineStr">
        <is>
          <t>$1,182.6M [1]</t>
        </is>
      </c>
      <c r="K9" s="36" t="inlineStr">
        <is>
          <t>$451.1M [1]</t>
        </is>
      </c>
      <c r="L9" s="36" t="inlineStr">
        <is>
          <t>$230.9M [1]</t>
        </is>
      </c>
      <c r="M9" s="36" t="inlineStr">
        <is>
          <t>$269.0M [1]</t>
        </is>
      </c>
      <c r="N9" s="36" t="inlineStr">
        <is>
          <t>$190.3M [1]</t>
        </is>
      </c>
    </row>
    <row r="10" ht="18.5" customHeight="1">
      <c r="A10" s="6" t="inlineStr">
        <is>
          <t xml:space="preserve">   Mejora Interanual de ROA</t>
        </is>
      </c>
      <c r="B10" s="35" t="inlineStr">
        <is>
          <t>Rentabilidad</t>
        </is>
      </c>
      <c r="C10" s="6" t="inlineStr">
        <is>
          <t>Delta ROA &gt; 0%</t>
        </is>
      </c>
      <c r="D10" s="37" t="inlineStr">
        <is>
          <t>-3.56% [0]</t>
        </is>
      </c>
      <c r="E10" s="37" t="inlineStr">
        <is>
          <t>-2.90% [0]</t>
        </is>
      </c>
      <c r="F10" s="36" t="inlineStr">
        <is>
          <t>+3.64% [1]</t>
        </is>
      </c>
      <c r="G10" s="36" t="inlineStr">
        <is>
          <t>+2.41% [1]</t>
        </is>
      </c>
      <c r="H10" s="36" t="inlineStr">
        <is>
          <t>+3.50% [1]</t>
        </is>
      </c>
      <c r="I10" s="36" t="inlineStr">
        <is>
          <t>+1.29% [1]</t>
        </is>
      </c>
      <c r="J10" s="36" t="inlineStr">
        <is>
          <t>+7.67% [1]</t>
        </is>
      </c>
      <c r="K10" s="37" t="inlineStr">
        <is>
          <t>-7.54% [0]</t>
        </is>
      </c>
      <c r="L10" s="36" t="inlineStr">
        <is>
          <t>+4.81% [1]</t>
        </is>
      </c>
      <c r="M10" s="37" t="inlineStr">
        <is>
          <t>-14.92% [0]</t>
        </is>
      </c>
      <c r="N10" s="37" t="inlineStr">
        <is>
          <t>N/A [0]</t>
        </is>
      </c>
    </row>
    <row r="11" ht="18.5" customHeight="1">
      <c r="A11" s="6" t="inlineStr">
        <is>
          <t xml:space="preserve">   Calidad Contable de Sloan</t>
        </is>
      </c>
      <c r="B11" s="35" t="inlineStr">
        <is>
          <t>Rentabilidad</t>
        </is>
      </c>
      <c r="C11" s="6" t="inlineStr">
        <is>
          <t>CFO &gt; Net Income</t>
        </is>
      </c>
      <c r="D11" s="36" t="inlineStr">
        <is>
          <t>$+12,042.0M [1]</t>
        </is>
      </c>
      <c r="E11" s="36" t="inlineStr">
        <is>
          <t>$+10,119.0M [1]</t>
        </is>
      </c>
      <c r="F11" s="36" t="inlineStr">
        <is>
          <t>$+6,007.0M [1]</t>
        </is>
      </c>
      <c r="G11" s="36" t="inlineStr">
        <is>
          <t>$+4,153.0M [1]</t>
        </is>
      </c>
      <c r="H11" s="36" t="inlineStr">
        <is>
          <t>$+2,458.0M [1]</t>
        </is>
      </c>
      <c r="I11" s="36" t="inlineStr">
        <is>
          <t>$+881.7M [1]</t>
        </is>
      </c>
      <c r="J11" s="36" t="inlineStr">
        <is>
          <t>$+1,183.3M [1]</t>
        </is>
      </c>
      <c r="K11" s="36" t="inlineStr">
        <is>
          <t>$+623.1M [1]</t>
        </is>
      </c>
      <c r="L11" s="36" t="inlineStr">
        <is>
          <t>$+233.2M [1]</t>
        </is>
      </c>
      <c r="M11" s="36" t="inlineStr">
        <is>
          <t>$+336.7M [1]</t>
        </is>
      </c>
      <c r="N11" s="36" t="inlineStr">
        <is>
          <t>$+53.9M [1]</t>
        </is>
      </c>
    </row>
    <row r="12" ht="18.5" customHeight="1">
      <c r="A12" s="6" t="inlineStr">
        <is>
          <t xml:space="preserve">   Desendeudamiento Financiero Total</t>
        </is>
      </c>
      <c r="B12" s="35" t="inlineStr">
        <is>
          <t>Apalancamiento</t>
        </is>
      </c>
      <c r="C12" s="6" t="inlineStr">
        <is>
          <t>Delta Deuda Total &lt;= 0%</t>
        </is>
      </c>
      <c r="D12" s="36" t="inlineStr">
        <is>
          <t>-0.86% [1]</t>
        </is>
      </c>
      <c r="E12" s="36" t="inlineStr">
        <is>
          <t>-1.14% [1]</t>
        </is>
      </c>
      <c r="F12" s="36" t="inlineStr">
        <is>
          <t>-2.79% [1]</t>
        </is>
      </c>
      <c r="G12" s="36" t="inlineStr">
        <is>
          <t>-9.17% [1]</t>
        </is>
      </c>
      <c r="H12" s="37" t="inlineStr">
        <is>
          <t>+34.64% [0]</t>
        </is>
      </c>
      <c r="I12" s="36" t="inlineStr">
        <is>
          <t>+0.00% [1]</t>
        </is>
      </c>
      <c r="J12" s="36" t="inlineStr">
        <is>
          <t>+0.00% [1]</t>
        </is>
      </c>
      <c r="K12" s="36" t="inlineStr">
        <is>
          <t>+0.00% [1]</t>
        </is>
      </c>
      <c r="L12" s="36" t="inlineStr">
        <is>
          <t>+0.00% [1]</t>
        </is>
      </c>
      <c r="M12" s="36" t="inlineStr">
        <is>
          <t>+0.00% [1]</t>
        </is>
      </c>
      <c r="N12" s="37" t="inlineStr">
        <is>
          <t>N/A [0]</t>
        </is>
      </c>
    </row>
    <row r="13" ht="18.5" customHeight="1">
      <c r="A13" s="6" t="inlineStr">
        <is>
          <t xml:space="preserve">   Mejora de Razón Corriente</t>
        </is>
      </c>
      <c r="B13" s="35" t="inlineStr">
        <is>
          <t>Liquidez</t>
        </is>
      </c>
      <c r="C13" s="6" t="inlineStr">
        <is>
          <t>Delta Current Ratio &gt; 0x</t>
        </is>
      </c>
      <c r="D13" s="37" t="inlineStr">
        <is>
          <t>-0.051x [0]</t>
        </is>
      </c>
      <c r="E13" s="37" t="inlineStr">
        <is>
          <t>-0.041x [0]</t>
        </is>
      </c>
      <c r="F13" s="37" t="inlineStr">
        <is>
          <t>-0.052x [0]</t>
        </is>
      </c>
      <c r="G13" s="37" t="inlineStr">
        <is>
          <t>-0.014x [0]</t>
        </is>
      </c>
      <c r="H13" s="37" t="inlineStr">
        <is>
          <t>-0.121x [0]</t>
        </is>
      </c>
      <c r="I13" s="37" t="inlineStr">
        <is>
          <t>-0.070x [0]</t>
        </is>
      </c>
      <c r="J13" s="37" t="inlineStr">
        <is>
          <t>-0.692x [0]</t>
        </is>
      </c>
      <c r="K13" s="36" t="inlineStr">
        <is>
          <t>+0.866x [1]</t>
        </is>
      </c>
      <c r="L13" s="37" t="inlineStr">
        <is>
          <t>-0.034x [0]</t>
        </is>
      </c>
      <c r="M13" s="37" t="inlineStr">
        <is>
          <t>-0.178x [0]</t>
        </is>
      </c>
      <c r="N13" s="37" t="inlineStr">
        <is>
          <t>N/A [0]</t>
        </is>
      </c>
    </row>
    <row r="14" ht="18.5" customHeight="1">
      <c r="A14" s="6" t="inlineStr">
        <is>
          <t xml:space="preserve">   Cero Dilución (Acciones Básicas)</t>
        </is>
      </c>
      <c r="B14" s="35" t="inlineStr">
        <is>
          <t>Capital</t>
        </is>
      </c>
      <c r="C14" s="6" t="inlineStr">
        <is>
          <t>Delta Acciones Básicas &lt;= 0</t>
        </is>
      </c>
      <c r="D14" s="36" t="inlineStr">
        <is>
          <t>-0.0M acciones [1]</t>
        </is>
      </c>
      <c r="E14" s="36" t="inlineStr">
        <is>
          <t>-0.0M acciones [1]</t>
        </is>
      </c>
      <c r="F14" s="37" t="inlineStr">
        <is>
          <t>+0.4M acciones [0]</t>
        </is>
      </c>
      <c r="G14" s="36" t="inlineStr">
        <is>
          <t>-0.1M acciones [1]</t>
        </is>
      </c>
      <c r="H14" s="37" t="inlineStr">
        <is>
          <t>+0.5M acciones [0]</t>
        </is>
      </c>
      <c r="I14" s="37" t="inlineStr">
        <is>
          <t>+0.1M acciones [0]</t>
        </is>
      </c>
      <c r="J14" s="37" t="inlineStr">
        <is>
          <t>+1.0M acciones [0]</t>
        </is>
      </c>
      <c r="K14" s="37" t="inlineStr">
        <is>
          <t>+4.2M acciones [0]</t>
        </is>
      </c>
      <c r="L14" s="37" t="inlineStr">
        <is>
          <t>+0.4M acciones [0]</t>
        </is>
      </c>
      <c r="M14" s="37" t="inlineStr">
        <is>
          <t>+0.0M acciones [0]</t>
        </is>
      </c>
      <c r="N14" s="37" t="inlineStr">
        <is>
          <t>N/A [0]</t>
        </is>
      </c>
    </row>
    <row r="15" ht="18.5" customHeight="1">
      <c r="A15" s="6" t="inlineStr">
        <is>
          <t xml:space="preserve">   Expansión de Margen Bruto</t>
        </is>
      </c>
      <c r="B15" s="35" t="inlineStr">
        <is>
          <t>Eficiencia</t>
        </is>
      </c>
      <c r="C15" s="6" t="inlineStr">
        <is>
          <t>Delta Margen Bruto &gt; 0%</t>
        </is>
      </c>
      <c r="D15" s="37" t="inlineStr">
        <is>
          <t>-1.83% [0]</t>
        </is>
      </c>
      <c r="E15" s="37" t="inlineStr">
        <is>
          <t>-1.59% [0]</t>
        </is>
      </c>
      <c r="F15" s="37" t="inlineStr">
        <is>
          <t>-3.70% [0]</t>
        </is>
      </c>
      <c r="G15" s="36" t="inlineStr">
        <is>
          <t>+0.79% [1]</t>
        </is>
      </c>
      <c r="H15" s="36" t="inlineStr">
        <is>
          <t>+6.49% [1]</t>
        </is>
      </c>
      <c r="I15" s="37" t="inlineStr">
        <is>
          <t>-0.51% [0]</t>
        </is>
      </c>
      <c r="J15" s="37" t="inlineStr">
        <is>
          <t>-4.98% [0]</t>
        </is>
      </c>
      <c r="K15" s="37" t="inlineStr">
        <is>
          <t>-0.42% [0]</t>
        </is>
      </c>
      <c r="L15" s="37" t="inlineStr">
        <is>
          <t>-3.06% [0]</t>
        </is>
      </c>
      <c r="M15" s="37" t="inlineStr">
        <is>
          <t>-12.11% [0]</t>
        </is>
      </c>
      <c r="N15" s="37" t="inlineStr">
        <is>
          <t>N/A [0]</t>
        </is>
      </c>
    </row>
    <row r="16" ht="18.5" customHeight="1">
      <c r="A16" s="6" t="inlineStr">
        <is>
          <t xml:space="preserve">   Expansión Rotación Activos</t>
        </is>
      </c>
      <c r="B16" s="35" t="inlineStr">
        <is>
          <t>Eficiencia</t>
        </is>
      </c>
      <c r="C16" s="6" t="inlineStr">
        <is>
          <t>Delta Rotación Activos &gt; 0x</t>
        </is>
      </c>
      <c r="D16" s="37" t="inlineStr">
        <is>
          <t>-0.322x [0]</t>
        </is>
      </c>
      <c r="E16" s="37" t="inlineStr">
        <is>
          <t>-0.031x [0]</t>
        </is>
      </c>
      <c r="F16" s="36" t="inlineStr">
        <is>
          <t>+0.124x [1]</t>
        </is>
      </c>
      <c r="G16" s="36" t="inlineStr">
        <is>
          <t>+0.011x [1]</t>
        </is>
      </c>
      <c r="H16" s="37" t="inlineStr">
        <is>
          <t>-0.040x [0]</t>
        </is>
      </c>
      <c r="I16" s="36" t="inlineStr">
        <is>
          <t>+0.252x [1]</t>
        </is>
      </c>
      <c r="J16" s="37" t="inlineStr">
        <is>
          <t>-0.194x [0]</t>
        </is>
      </c>
      <c r="K16" s="36" t="inlineStr">
        <is>
          <t>+0.165x [1]</t>
        </is>
      </c>
      <c r="L16" s="37" t="inlineStr">
        <is>
          <t>-0.162x [0]</t>
        </is>
      </c>
      <c r="M16" s="36" t="inlineStr">
        <is>
          <t>+0.405x [1]</t>
        </is>
      </c>
      <c r="N16" s="37" t="inlineStr">
        <is>
          <t>N/A [0]</t>
        </is>
      </c>
    </row>
    <row r="17" ht="18.5" customHeight="1">
      <c r="A17" s="12" t="inlineStr">
        <is>
          <t>TOTAL PIOTROSKI F-SCORE (0 a 9 Pts)</t>
        </is>
      </c>
      <c r="B17" s="12" t="inlineStr">
        <is>
          <t>PUNTUACIÓN</t>
        </is>
      </c>
      <c r="C17" s="12" t="inlineStr">
        <is>
          <t>Escala 0-9 (&gt;=7 Fuerte)</t>
        </is>
      </c>
      <c r="D17" s="38" t="inlineStr">
        <is>
          <t>5 / 9 Pts</t>
        </is>
      </c>
      <c r="E17" s="38" t="inlineStr">
        <is>
          <t>5 / 9 Pts</t>
        </is>
      </c>
      <c r="F17" s="38" t="inlineStr">
        <is>
          <t>6 / 9 Pts</t>
        </is>
      </c>
      <c r="G17" s="39" t="inlineStr">
        <is>
          <t>8 / 9 Pts</t>
        </is>
      </c>
      <c r="H17" s="38" t="inlineStr">
        <is>
          <t>5 / 9 Pts</t>
        </is>
      </c>
      <c r="I17" s="38" t="inlineStr">
        <is>
          <t>6 / 9 Pts</t>
        </is>
      </c>
      <c r="J17" s="40" t="inlineStr">
        <is>
          <t>4 / 9 Pts</t>
        </is>
      </c>
      <c r="K17" s="38" t="inlineStr">
        <is>
          <t>5 / 9 Pts</t>
        </is>
      </c>
      <c r="L17" s="40" t="inlineStr">
        <is>
          <t>4 / 9 Pts</t>
        </is>
      </c>
      <c r="M17" s="40" t="inlineStr">
        <is>
          <t>4 / 9 Pts</t>
        </is>
      </c>
      <c r="N17" s="40" t="inlineStr">
        <is>
          <t>3 / 9 Pts</t>
        </is>
      </c>
    </row>
    <row r="18" ht="18.5" customHeight="1">
      <c r="A18" s="35" t="inlineStr">
        <is>
          <t>Dictamen de Salud Financiera</t>
        </is>
      </c>
      <c r="B18" s="35" t="inlineStr">
        <is>
          <t>-</t>
        </is>
      </c>
      <c r="C18" s="35" t="inlineStr">
        <is>
          <t>Clasificación</t>
        </is>
      </c>
      <c r="D18" s="41" t="inlineStr">
        <is>
          <t>SALUD MODERADA</t>
        </is>
      </c>
      <c r="E18" s="41" t="inlineStr">
        <is>
          <t>SALUD MODERADA</t>
        </is>
      </c>
      <c r="F18" s="41" t="inlineStr">
        <is>
          <t>SALUD SÓLIDA</t>
        </is>
      </c>
      <c r="G18" s="41" t="inlineStr">
        <is>
          <t>SALUD EXCEPCIONAL</t>
        </is>
      </c>
      <c r="H18" s="41" t="inlineStr">
        <is>
          <t>SALUD MODERADA</t>
        </is>
      </c>
      <c r="I18" s="41" t="inlineStr">
        <is>
          <t>SALUD SÓLIDA</t>
        </is>
      </c>
      <c r="J18" s="41" t="inlineStr">
        <is>
          <t>VULNERABILIDAD FINANCIERA</t>
        </is>
      </c>
      <c r="K18" s="41" t="inlineStr">
        <is>
          <t>SALUD MODERADA</t>
        </is>
      </c>
      <c r="L18" s="41" t="inlineStr">
        <is>
          <t>VULNERABILIDAD FINANCIERA</t>
        </is>
      </c>
      <c r="M18" s="41" t="inlineStr">
        <is>
          <t>VULNERABILIDAD FINANCIERA</t>
        </is>
      </c>
      <c r="N18" s="41" t="inlineStr">
        <is>
          <t>VULNERABILIDAD FINANCIERA</t>
        </is>
      </c>
    </row>
    <row r="19" ht="10" customHeight="1"/>
    <row r="20" ht="10" customHeight="1"/>
    <row r="21" ht="25" customHeight="1">
      <c r="A21" s="3" t="inlineStr">
        <is>
          <t>Criterio de Crecimiento (Mohanram 2005)</t>
        </is>
      </c>
      <c r="B21" s="3" t="inlineStr">
        <is>
          <t>Categoría</t>
        </is>
      </c>
      <c r="C21" s="3" t="inlineStr">
        <is>
          <t>Benchmark Sectorial</t>
        </is>
      </c>
      <c r="D21" s="4" t="inlineStr">
        <is>
          <t>LTM</t>
        </is>
      </c>
      <c r="E21" s="5" t="inlineStr">
        <is>
          <t>FY2025</t>
        </is>
      </c>
      <c r="F21" s="5" t="inlineStr">
        <is>
          <t>FY2024</t>
        </is>
      </c>
      <c r="G21" s="5" t="inlineStr">
        <is>
          <t>FY2023</t>
        </is>
      </c>
      <c r="H21" s="5" t="inlineStr">
        <is>
          <t>FY2022</t>
        </is>
      </c>
      <c r="I21" s="5" t="inlineStr">
        <is>
          <t>FY2021</t>
        </is>
      </c>
      <c r="J21" s="5" t="inlineStr">
        <is>
          <t>FY2020</t>
        </is>
      </c>
      <c r="K21" s="5" t="inlineStr">
        <is>
          <t>FY2019</t>
        </is>
      </c>
      <c r="L21" s="5" t="inlineStr">
        <is>
          <t>FY2018</t>
        </is>
      </c>
      <c r="M21" s="5" t="inlineStr">
        <is>
          <t>FY2017</t>
        </is>
      </c>
      <c r="N21" s="5" t="inlineStr">
        <is>
          <t>FY2016</t>
        </is>
      </c>
    </row>
    <row r="22" ht="18.5" customHeight="1">
      <c r="A22" s="6" t="inlineStr">
        <is>
          <t xml:space="preserve">   ROA &gt; Mediana del Sector</t>
        </is>
      </c>
      <c r="B22" s="35" t="inlineStr">
        <is>
          <t>Rentabilidad</t>
        </is>
      </c>
      <c r="C22" s="6" t="inlineStr">
        <is>
          <t>&gt; Mediana Sector (8.04%)</t>
        </is>
      </c>
      <c r="D22" s="37" t="inlineStr">
        <is>
          <t>4.37% [0]</t>
        </is>
      </c>
      <c r="E22" s="37" t="inlineStr">
        <is>
          <t>7.93% [0]</t>
        </is>
      </c>
      <c r="F22" s="36" t="inlineStr">
        <is>
          <t>10.83% [1]</t>
        </is>
      </c>
      <c r="G22" s="37" t="inlineStr">
        <is>
          <t>7.19% [0]</t>
        </is>
      </c>
      <c r="H22" s="37" t="inlineStr">
        <is>
          <t>4.77% [0]</t>
        </is>
      </c>
      <c r="I22" s="37" t="inlineStr">
        <is>
          <t>1.28% [0]</t>
        </is>
      </c>
      <c r="J22" s="37" t="inlineStr">
        <is>
          <t>-0.01% [0]</t>
        </is>
      </c>
      <c r="K22" s="37" t="inlineStr">
        <is>
          <t>-7.68% [0]</t>
        </is>
      </c>
      <c r="L22" s="37" t="inlineStr">
        <is>
          <t>-0.14% [0]</t>
        </is>
      </c>
      <c r="M22" s="37" t="inlineStr">
        <is>
          <t>-4.95% [0]</t>
        </is>
      </c>
      <c r="N22" s="36" t="inlineStr">
        <is>
          <t>9.97% [1]</t>
        </is>
      </c>
    </row>
    <row r="23" ht="18.5" customHeight="1">
      <c r="A23" s="6" t="inlineStr">
        <is>
          <t xml:space="preserve">   CFROA &gt; Mediana del Sector</t>
        </is>
      </c>
      <c r="B23" s="35" t="inlineStr">
        <is>
          <t>Flujo de Caja</t>
        </is>
      </c>
      <c r="C23" s="6" t="inlineStr">
        <is>
          <t>&gt; Mediana Sector (18.08%)</t>
        </is>
      </c>
      <c r="D23" s="36" t="inlineStr">
        <is>
          <t>32.59% [1]</t>
        </is>
      </c>
      <c r="E23" s="36" t="inlineStr">
        <is>
          <t>48.09% [1]</t>
        </is>
      </c>
      <c r="F23" s="36" t="inlineStr">
        <is>
          <t>44.87% [1]</t>
        </is>
      </c>
      <c r="G23" s="36" t="inlineStr">
        <is>
          <t>37.42% [1]</t>
        </is>
      </c>
      <c r="H23" s="36" t="inlineStr">
        <is>
          <t>29.11% [1]</t>
        </is>
      </c>
      <c r="I23" s="37" t="inlineStr">
        <is>
          <t>14.79% [0]</t>
        </is>
      </c>
      <c r="J23" s="36" t="inlineStr">
        <is>
          <t>24.73% [1]</t>
        </is>
      </c>
      <c r="K23" s="36" t="inlineStr">
        <is>
          <t>20.14% [1]</t>
        </is>
      </c>
      <c r="L23" s="37" t="inlineStr">
        <is>
          <t>13.80% [0]</t>
        </is>
      </c>
      <c r="M23" s="36" t="inlineStr">
        <is>
          <t>19.67% [1]</t>
        </is>
      </c>
      <c r="N23" s="37" t="inlineStr">
        <is>
          <t>13.91% [0]</t>
        </is>
      </c>
    </row>
    <row r="24" ht="18.5" customHeight="1">
      <c r="A24" s="6" t="inlineStr">
        <is>
          <t xml:space="preserve">   Calidad Contable (CFO &gt; NI)</t>
        </is>
      </c>
      <c r="B24" s="35" t="inlineStr">
        <is>
          <t>Devengos</t>
        </is>
      </c>
      <c r="C24" s="6" t="inlineStr">
        <is>
          <t>CFO &gt; Utilidad Neta</t>
        </is>
      </c>
      <c r="D24" s="36" t="inlineStr">
        <is>
          <t>$+12,042.0M [1]</t>
        </is>
      </c>
      <c r="E24" s="36" t="inlineStr">
        <is>
          <t>$+10,119.0M [1]</t>
        </is>
      </c>
      <c r="F24" s="36" t="inlineStr">
        <is>
          <t>$+6,007.0M [1]</t>
        </is>
      </c>
      <c r="G24" s="36" t="inlineStr">
        <is>
          <t>$+4,153.0M [1]</t>
        </is>
      </c>
      <c r="H24" s="36" t="inlineStr">
        <is>
          <t>$+2,458.0M [1]</t>
        </is>
      </c>
      <c r="I24" s="36" t="inlineStr">
        <is>
          <t>$+881.7M [1]</t>
        </is>
      </c>
      <c r="J24" s="36" t="inlineStr">
        <is>
          <t>$+1,183.3M [1]</t>
        </is>
      </c>
      <c r="K24" s="36" t="inlineStr">
        <is>
          <t>$+623.1M [1]</t>
        </is>
      </c>
      <c r="L24" s="36" t="inlineStr">
        <is>
          <t>$+233.2M [1]</t>
        </is>
      </c>
      <c r="M24" s="36" t="inlineStr">
        <is>
          <t>$+336.7M [1]</t>
        </is>
      </c>
      <c r="N24" s="36" t="inlineStr">
        <is>
          <t>$+53.9M [1]</t>
        </is>
      </c>
    </row>
    <row r="25" ht="18.5" customHeight="1">
      <c r="A25" s="6" t="inlineStr">
        <is>
          <t xml:space="preserve">   Estabilidad / Nivel Superior de ROA</t>
        </is>
      </c>
      <c r="B25" s="35" t="inlineStr">
        <is>
          <t>Predictibilidad</t>
        </is>
      </c>
      <c r="C25" s="6" t="inlineStr">
        <is>
          <t>CV &lt; 0.38 o ROA &gt;= P75 (8.18%)</t>
        </is>
      </c>
      <c r="D25" s="37" t="inlineStr">
        <is>
          <t>CV=0.57 [0]</t>
        </is>
      </c>
      <c r="E25" s="37" t="inlineStr">
        <is>
          <t>CV=0.57 [0]</t>
        </is>
      </c>
      <c r="F25" s="36" t="inlineStr">
        <is>
          <t>CV=0.91 [1]</t>
        </is>
      </c>
      <c r="G25" s="37" t="inlineStr">
        <is>
          <t>CV=2.78 [0]</t>
        </is>
      </c>
      <c r="H25" s="37" t="inlineStr">
        <is>
          <t>CV=20.46 [0]</t>
        </is>
      </c>
      <c r="I25" s="37" t="inlineStr">
        <is>
          <t>CV=1.00 [0]</t>
        </is>
      </c>
      <c r="J25" s="37" t="inlineStr">
        <is>
          <t>CV=12.77 [0]</t>
        </is>
      </c>
      <c r="K25" s="37" t="inlineStr">
        <is>
          <t>CV=11.73 [0]</t>
        </is>
      </c>
      <c r="L25" s="37" t="inlineStr">
        <is>
          <t>CV=3.73 [0]</t>
        </is>
      </c>
      <c r="M25" s="37" t="inlineStr">
        <is>
          <t>CV=3.35 [0]</t>
        </is>
      </c>
      <c r="N25" s="36" t="inlineStr">
        <is>
          <t>P75 Líder [1]</t>
        </is>
      </c>
    </row>
    <row r="26" ht="18.5" customHeight="1">
      <c r="A26" s="6" t="inlineStr">
        <is>
          <t xml:space="preserve">   Estabilidad / Hipercrecimiento</t>
        </is>
      </c>
      <c r="B26" s="35" t="inlineStr">
        <is>
          <t>Predictibilidad</t>
        </is>
      </c>
      <c r="C26" s="6" t="inlineStr">
        <is>
          <t>CV &lt; 0.40 o g &gt;= 20%</t>
        </is>
      </c>
      <c r="D26" s="36" t="inlineStr">
        <is>
          <t>CV=0.12 [1]</t>
        </is>
      </c>
      <c r="E26" s="36" t="inlineStr">
        <is>
          <t>CV=0.12 [1]</t>
        </is>
      </c>
      <c r="F26" s="36" t="inlineStr">
        <is>
          <t>CV=0.35 [1]</t>
        </is>
      </c>
      <c r="G26" s="36" t="inlineStr">
        <is>
          <t>CV=0.33 [1]</t>
        </is>
      </c>
      <c r="H26" s="36" t="inlineStr">
        <is>
          <t>CV=0.20 [1]</t>
        </is>
      </c>
      <c r="I26" s="36" t="inlineStr">
        <is>
          <t>CV=0.65 [1]</t>
        </is>
      </c>
      <c r="J26" s="36" t="inlineStr">
        <is>
          <t>CV=0.64 [1]</t>
        </is>
      </c>
      <c r="K26" s="36" t="inlineStr">
        <is>
          <t>CV=0.81 [1]</t>
        </is>
      </c>
      <c r="L26" s="36" t="inlineStr">
        <is>
          <t>CV=1.29 [1]</t>
        </is>
      </c>
      <c r="M26" s="36" t="inlineStr">
        <is>
          <t>Hipercrecimiento [1]</t>
        </is>
      </c>
      <c r="N26" s="37" t="inlineStr">
        <is>
          <t>N/A [0]</t>
        </is>
      </c>
    </row>
    <row r="27" ht="18.5" customHeight="1">
      <c r="A27" s="6" t="inlineStr">
        <is>
          <t xml:space="preserve">   Intensidad en I+D vs Sector</t>
        </is>
      </c>
      <c r="B27" s="35" t="inlineStr">
        <is>
          <t>Intangibles</t>
        </is>
      </c>
      <c r="C27" s="6" t="inlineStr">
        <is>
          <t>R&amp;D / Activos &gt; 9.77%</t>
        </is>
      </c>
      <c r="D27" s="37" t="inlineStr">
        <is>
          <t>4.59% [0]</t>
        </is>
      </c>
      <c r="E27" s="37" t="inlineStr">
        <is>
          <t>9.01% [0]</t>
        </is>
      </c>
      <c r="F27" s="36" t="inlineStr">
        <is>
          <t>10.96% [1]</t>
        </is>
      </c>
      <c r="G27" s="36" t="inlineStr">
        <is>
          <t>13.33% [1]</t>
        </is>
      </c>
      <c r="H27" s="36" t="inlineStr">
        <is>
          <t>10.88% [1]</t>
        </is>
      </c>
      <c r="I27" s="37" t="inlineStr">
        <is>
          <t>9.05% [0]</t>
        </is>
      </c>
      <c r="J27" s="37" t="inlineStr">
        <is>
          <t>7.37% [0]</t>
        </is>
      </c>
      <c r="K27" s="36" t="inlineStr">
        <is>
          <t>9.99% [1]</t>
        </is>
      </c>
      <c r="L27" s="37" t="inlineStr">
        <is>
          <t>8.74% [0]</t>
        </is>
      </c>
      <c r="M27" s="37" t="inlineStr">
        <is>
          <t>0.00% [0]</t>
        </is>
      </c>
      <c r="N27" s="37" t="inlineStr">
        <is>
          <t>0.00% [0]</t>
        </is>
      </c>
    </row>
    <row r="28" ht="18.5" customHeight="1">
      <c r="A28" s="6" t="inlineStr">
        <is>
          <t xml:space="preserve">   Inversión de Capital / Asset-Light</t>
        </is>
      </c>
      <c r="B28" s="35" t="inlineStr">
        <is>
          <t>Inversión</t>
        </is>
      </c>
      <c r="C28" s="6" t="inlineStr">
        <is>
          <t>CapEx / Activos &gt; 4.49%</t>
        </is>
      </c>
      <c r="D28" s="37" t="inlineStr">
        <is>
          <t>3.51% (CapEx) [0]</t>
        </is>
      </c>
      <c r="E28" s="36" t="inlineStr">
        <is>
          <t>5.33% (CapEx) [1]</t>
        </is>
      </c>
      <c r="F28" s="36" t="inlineStr">
        <is>
          <t>4.87% (CapEx) [1]</t>
        </is>
      </c>
      <c r="G28" s="37" t="inlineStr">
        <is>
          <t>3.71% (CapEx) [0]</t>
        </is>
      </c>
      <c r="H28" s="36" t="inlineStr">
        <is>
          <t>4.49% (CapEx) [1]</t>
        </is>
      </c>
      <c r="I28" s="36" t="inlineStr">
        <is>
          <t>8.78% (CapEx) [1]</t>
        </is>
      </c>
      <c r="J28" s="36" t="inlineStr">
        <is>
          <t>5.17% (CapEx) [1]</t>
        </is>
      </c>
      <c r="K28" s="36" t="inlineStr">
        <is>
          <t>6.11% (CapEx) [1]</t>
        </is>
      </c>
      <c r="L28" s="36" t="inlineStr">
        <is>
          <t>5.57% (CapEx) [1]</t>
        </is>
      </c>
      <c r="M28" s="37" t="inlineStr">
        <is>
          <t>4.03% (CapEx) [0]</t>
        </is>
      </c>
      <c r="N28" s="36" t="inlineStr">
        <is>
          <t>5.01% (CapEx) [1]</t>
        </is>
      </c>
    </row>
    <row r="29" ht="18.5" customHeight="1">
      <c r="A29" s="6" t="inlineStr">
        <is>
          <t xml:space="preserve">   Apalancamiento Comercial (SG&amp;A)</t>
        </is>
      </c>
      <c r="B29" s="35" t="inlineStr">
        <is>
          <t>Eficiencia</t>
        </is>
      </c>
      <c r="C29" s="6" t="inlineStr">
        <is>
          <t>% Delta Ventas &gt; % Delta SG&amp;A</t>
        </is>
      </c>
      <c r="D29" s="36" t="inlineStr">
        <is>
          <t>Ventas: +21.8% vs SG&amp;A: -25.4% [1]</t>
        </is>
      </c>
      <c r="E29" s="36" t="inlineStr">
        <is>
          <t>Ventas: +39.1% vs SG&amp;A: +39.0% [1]</t>
        </is>
      </c>
      <c r="F29" s="36" t="inlineStr">
        <is>
          <t>Ventas: +43.6% vs SG&amp;A: +29.0% [1]</t>
        </is>
      </c>
      <c r="G29" s="36" t="inlineStr">
        <is>
          <t>Ventas: +37.4% vs SG&amp;A: +30.4% [1]</t>
        </is>
      </c>
      <c r="H29" s="37" t="inlineStr">
        <is>
          <t>Ventas: +49.1% vs SG&amp;A: +61.0% [0]</t>
        </is>
      </c>
      <c r="I29" s="36" t="inlineStr">
        <is>
          <t>Ventas: +77.9% vs SG&amp;A: +62.1% [1]</t>
        </is>
      </c>
      <c r="J29" s="36" t="inlineStr">
        <is>
          <t>Ventas: +73.0% vs SG&amp;A: +26.0% [1]</t>
        </is>
      </c>
      <c r="K29" s="37" t="inlineStr">
        <is>
          <t>Ventas: +59.5% vs SG&amp;A: +63.8% [0]</t>
        </is>
      </c>
      <c r="L29" s="37" t="inlineStr">
        <is>
          <t>Ventas: +3.0% vs SG&amp;A: +15.6% [0]</t>
        </is>
      </c>
      <c r="M29" s="37" t="inlineStr">
        <is>
          <t>Ventas: +65.6% vs SG&amp;A: +86.4% [0]</t>
        </is>
      </c>
      <c r="N29" s="37" t="inlineStr">
        <is>
          <t>N/A [0]</t>
        </is>
      </c>
    </row>
    <row r="30" ht="18.5" customHeight="1">
      <c r="A30" s="12" t="inlineStr">
        <is>
          <t>TOTAL MOHANRAM G-SCORE (0 a 8 Pts)</t>
        </is>
      </c>
      <c r="B30" s="12" t="inlineStr">
        <is>
          <t>PUNTUACIÓN</t>
        </is>
      </c>
      <c r="C30" s="12" t="inlineStr">
        <is>
          <t>Escala 0-8 (&gt;=6 Élite)</t>
        </is>
      </c>
      <c r="D30" s="38" t="inlineStr">
        <is>
          <t>4 / 8 Pts</t>
        </is>
      </c>
      <c r="E30" s="38" t="inlineStr">
        <is>
          <t>5 / 8 Pts</t>
        </is>
      </c>
      <c r="F30" s="39" t="inlineStr">
        <is>
          <t>8 / 8 Pts</t>
        </is>
      </c>
      <c r="G30" s="38" t="inlineStr">
        <is>
          <t>5 / 8 Pts</t>
        </is>
      </c>
      <c r="H30" s="38" t="inlineStr">
        <is>
          <t>5 / 8 Pts</t>
        </is>
      </c>
      <c r="I30" s="38" t="inlineStr">
        <is>
          <t>4 / 8 Pts</t>
        </is>
      </c>
      <c r="J30" s="38" t="inlineStr">
        <is>
          <t>5 / 8 Pts</t>
        </is>
      </c>
      <c r="K30" s="38" t="inlineStr">
        <is>
          <t>5 / 8 Pts</t>
        </is>
      </c>
      <c r="L30" s="40" t="inlineStr">
        <is>
          <t>3 / 8 Pts</t>
        </is>
      </c>
      <c r="M30" s="40" t="inlineStr">
        <is>
          <t>3 / 8 Pts</t>
        </is>
      </c>
      <c r="N30" s="38" t="inlineStr">
        <is>
          <t>4 / 8 Pts</t>
        </is>
      </c>
    </row>
    <row r="31" ht="18.5" customHeight="1">
      <c r="A31" s="35" t="inlineStr">
        <is>
          <t>Dictamen de Calidad de Crecimiento</t>
        </is>
      </c>
      <c r="B31" s="35" t="inlineStr">
        <is>
          <t>-</t>
        </is>
      </c>
      <c r="C31" s="35" t="inlineStr">
        <is>
          <t>Clasificación</t>
        </is>
      </c>
      <c r="D31" s="41" t="inlineStr">
        <is>
          <t>CRECIMIENTO PROMEDIO</t>
        </is>
      </c>
      <c r="E31" s="41" t="inlineStr">
        <is>
          <t>CRECIMIENTO PROMEDIO</t>
        </is>
      </c>
      <c r="F31" s="41" t="inlineStr">
        <is>
          <t>CRECIMIENTO DE ÉLITE</t>
        </is>
      </c>
      <c r="G31" s="41" t="inlineStr">
        <is>
          <t>CRECIMIENTO PROMEDIO</t>
        </is>
      </c>
      <c r="H31" s="41" t="inlineStr">
        <is>
          <t>CRECIMIENTO PROMEDIO</t>
        </is>
      </c>
      <c r="I31" s="41" t="inlineStr">
        <is>
          <t>CRECIMIENTO PROMEDIO</t>
        </is>
      </c>
      <c r="J31" s="41" t="inlineStr">
        <is>
          <t>CRECIMIENTO PROMEDIO</t>
        </is>
      </c>
      <c r="K31" s="41" t="inlineStr">
        <is>
          <t>CRECIMIENTO PROMEDIO</t>
        </is>
      </c>
      <c r="L31" s="41" t="inlineStr">
        <is>
          <t>CRECIMIENTO FRÁGIL</t>
        </is>
      </c>
      <c r="M31" s="41" t="inlineStr">
        <is>
          <t>CRECIMIENTO FRÁGIL</t>
        </is>
      </c>
      <c r="N31" s="41" t="inlineStr">
        <is>
          <t>CRECIMIENTO PROMEDIO</t>
        </is>
      </c>
    </row>
    <row r="32" ht="10" customHeight="1"/>
    <row r="33" ht="10" customHeight="1"/>
    <row r="34" ht="22" customHeight="1">
      <c r="A34" s="18" t="inlineStr">
        <is>
          <t>MATRIZ COMBINADA Y CLASIFICACIÓN ESTRATÉGICA</t>
        </is>
      </c>
      <c r="B34" s="19" t="n"/>
      <c r="C34" s="19" t="n"/>
      <c r="D34" s="19" t="n"/>
      <c r="E34" s="19" t="n"/>
      <c r="F34" s="19" t="n"/>
      <c r="G34" s="19" t="n"/>
      <c r="H34" s="19" t="n"/>
      <c r="I34" s="19" t="n"/>
      <c r="J34" s="19" t="n"/>
      <c r="K34" s="19" t="n"/>
      <c r="L34" s="19" t="n"/>
      <c r="M34" s="19" t="n"/>
      <c r="N34" s="19" t="n"/>
    </row>
    <row r="35" ht="18.5" customHeight="1">
      <c r="A35" s="42" t="inlineStr">
        <is>
          <t xml:space="preserve">   Cuadrante Estratégico</t>
        </is>
      </c>
      <c r="B35" s="35" t="inlineStr">
        <is>
          <t>Posición</t>
        </is>
      </c>
      <c r="C35" s="35" t="inlineStr">
        <is>
          <t>Matriz 2x2</t>
        </is>
      </c>
      <c r="D35" s="41" t="inlineStr">
        <is>
          <t>🚨 TRAMPA DE VALOR / DETERIORO</t>
        </is>
      </c>
      <c r="E35" s="41" t="inlineStr">
        <is>
          <t>🚨 TRAMPA DE VALOR / DETERIORO</t>
        </is>
      </c>
      <c r="F35" s="41" t="inlineStr">
        <is>
          <t>💎 COMPOUNDER DE ÉLITE</t>
        </is>
      </c>
      <c r="G35" s="41" t="inlineStr">
        <is>
          <t>🛡️ GENERADOR MADURO (CASH COW)</t>
        </is>
      </c>
      <c r="H35" s="41" t="inlineStr">
        <is>
          <t>🚨 TRAMPA DE VALOR / DETERIORO</t>
        </is>
      </c>
      <c r="I35" s="41" t="inlineStr">
        <is>
          <t>🛡️ GENERADOR MADURO (CASH COW)</t>
        </is>
      </c>
      <c r="J35" s="41" t="inlineStr">
        <is>
          <t>🚨 TRAMPA DE VALOR / DETERIORO</t>
        </is>
      </c>
      <c r="K35" s="41" t="inlineStr">
        <is>
          <t>🚨 TRAMPA DE VALOR / DETERIORO</t>
        </is>
      </c>
      <c r="L35" s="41" t="inlineStr">
        <is>
          <t>🚨 TRAMPA DE VALOR / DETERIORO</t>
        </is>
      </c>
      <c r="M35" s="41" t="inlineStr">
        <is>
          <t>🚨 TRAMPA DE VALOR / DETERIORO</t>
        </is>
      </c>
      <c r="N35" s="41" t="inlineStr">
        <is>
          <t>🚨 TRAMPA DE VALOR / DETERIORO</t>
        </is>
      </c>
    </row>
    <row r="36" ht="10" customHeight="1"/>
    <row r="37" ht="10" customHeight="1"/>
    <row r="38" ht="22" customHeight="1">
      <c r="A38" s="18" t="inlineStr">
        <is>
          <t>PRODUCTIVIDAD PURA DEL CAPITAL (NOVY-MARX GP/A &amp; DUPONT)</t>
        </is>
      </c>
      <c r="B38" s="19" t="n"/>
      <c r="C38" s="19" t="n"/>
      <c r="D38" s="19" t="n"/>
      <c r="E38" s="19" t="n"/>
      <c r="F38" s="19" t="n"/>
      <c r="G38" s="19" t="n"/>
      <c r="H38" s="19" t="n"/>
      <c r="I38" s="19" t="n"/>
      <c r="J38" s="19" t="n"/>
      <c r="K38" s="19" t="n"/>
      <c r="L38" s="19" t="n"/>
      <c r="M38" s="19" t="n"/>
      <c r="N38" s="19" t="n"/>
    </row>
    <row r="39" ht="22" customHeight="1">
      <c r="A39" s="6" t="inlineStr">
        <is>
          <t xml:space="preserve">   Gross Profitability (Activos Totales)</t>
        </is>
      </c>
      <c r="B39" s="35" t="inlineStr">
        <is>
          <t>Métrica Base</t>
        </is>
      </c>
      <c r="C39" s="6" t="inlineStr">
        <is>
          <t>GP / Activos Totales</t>
        </is>
      </c>
      <c r="D39" s="20" t="n">
        <v>0.2923514292390373</v>
      </c>
      <c r="E39" s="20" t="n">
        <v>0.3013570206482762</v>
      </c>
      <c r="F39" s="43" t="n">
        <v>0.3801000158755358</v>
      </c>
      <c r="G39" s="43" t="n">
        <v>0.4083645018701122</v>
      </c>
      <c r="H39" s="43" t="n">
        <v>0.3758736167734421</v>
      </c>
      <c r="I39" s="20" t="n">
        <v>0.2974957920666126</v>
      </c>
      <c r="J39" s="20" t="n">
        <v>0.2618944301331897</v>
      </c>
      <c r="K39" s="20" t="n">
        <v>0.2304881264807785</v>
      </c>
      <c r="L39" s="20" t="n">
        <v>0.3112311170389713</v>
      </c>
      <c r="M39" s="43" t="n">
        <v>0.4300774509962126</v>
      </c>
      <c r="N39" s="43" t="n">
        <v>0.3926022077831853</v>
      </c>
    </row>
    <row r="40" ht="22" customHeight="1">
      <c r="A40" s="6" t="inlineStr">
        <is>
          <t xml:space="preserve">   Gross Profitability Operativa (Ex-Caja)</t>
        </is>
      </c>
      <c r="B40" s="35" t="inlineStr">
        <is>
          <t>Métrica Operativa</t>
        </is>
      </c>
      <c r="C40" s="6" t="inlineStr">
        <is>
          <t>GP / (Activos - Caja)</t>
        </is>
      </c>
      <c r="D40" s="20" t="n">
        <v>0.3147127255958245</v>
      </c>
      <c r="E40" s="20" t="n">
        <v>0.3297176705900454</v>
      </c>
      <c r="F40" s="20" t="n">
        <v>0.4244935951420593</v>
      </c>
      <c r="G40" s="20" t="n">
        <v>0.4775347912524851</v>
      </c>
      <c r="H40" s="20" t="n">
        <v>0.4365804160324708</v>
      </c>
      <c r="I40" s="20" t="n">
        <v>0.3997902235221056</v>
      </c>
      <c r="J40" s="20" t="n">
        <v>0.3660027178091015</v>
      </c>
      <c r="K40" s="20" t="n">
        <v>0.3244447741518792</v>
      </c>
      <c r="L40" s="20" t="n">
        <v>0.3874016430754558</v>
      </c>
      <c r="M40" s="20" t="n">
        <v>0.5600318150369632</v>
      </c>
      <c r="N40" s="20" t="n">
        <v>0.4737142579822553</v>
      </c>
    </row>
    <row r="41" ht="22" customHeight="1">
      <c r="A41" s="42" t="inlineStr">
        <is>
          <t xml:space="preserve">   Efecto Arrastre de Caja (Cash Drag)</t>
        </is>
      </c>
      <c r="B41" s="35" t="inlineStr">
        <is>
          <t>Dilución de Caja</t>
        </is>
      </c>
      <c r="C41" s="6" t="inlineStr">
        <is>
          <t>Ex-Caja vs Total (p.p.)</t>
        </is>
      </c>
      <c r="D41" s="44" t="n">
        <v>0.02236129635678724</v>
      </c>
      <c r="E41" s="44" t="n">
        <v>0.02836064994176918</v>
      </c>
      <c r="F41" s="44" t="n">
        <v>0.04439357926652349</v>
      </c>
      <c r="G41" s="44" t="n">
        <v>0.06917028938237291</v>
      </c>
      <c r="H41" s="44" t="n">
        <v>0.06070679925902878</v>
      </c>
      <c r="I41" s="44" t="n">
        <v>0.102294431455493</v>
      </c>
      <c r="J41" s="44" t="n">
        <v>0.1041082876759118</v>
      </c>
      <c r="K41" s="44" t="n">
        <v>0.09395664767110071</v>
      </c>
      <c r="L41" s="44" t="n">
        <v>0.07617052603648444</v>
      </c>
      <c r="M41" s="44" t="n">
        <v>0.1299543640407506</v>
      </c>
      <c r="N41" s="44" t="n">
        <v>0.08111205019906997</v>
      </c>
    </row>
    <row r="42" ht="22" customHeight="1">
      <c r="A42" s="6" t="inlineStr">
        <is>
          <t xml:space="preserve">   Margen Bruto de Utilidad (DuPont)</t>
        </is>
      </c>
      <c r="B42" s="35" t="inlineStr">
        <is>
          <t>Fijación Precios</t>
        </is>
      </c>
      <c r="C42" s="6" t="inlineStr">
        <is>
          <t>Utilidad Bruta / Ventas</t>
        </is>
      </c>
      <c r="D42" s="20" t="n">
        <v>0.426752316525496</v>
      </c>
      <c r="E42" s="20" t="n">
        <v>0.4450212854324577</v>
      </c>
      <c r="F42" s="20" t="n">
        <v>0.4609423882177408</v>
      </c>
      <c r="G42" s="20" t="n">
        <v>0.497892627651489</v>
      </c>
      <c r="H42" s="20" t="n">
        <v>0.4899876625225396</v>
      </c>
      <c r="I42" s="20" t="n">
        <v>0.4250782491153079</v>
      </c>
      <c r="J42" s="20" t="n">
        <v>0.4301560476813059</v>
      </c>
      <c r="K42" s="20" t="n">
        <v>0.47995309003908</v>
      </c>
      <c r="L42" s="20" t="n">
        <v>0.4841500000347306</v>
      </c>
      <c r="M42" s="20" t="n">
        <v>0.5147003601328951</v>
      </c>
      <c r="N42" s="20" t="n">
        <v>0.6357893689690619</v>
      </c>
    </row>
    <row r="43" ht="22" customHeight="1">
      <c r="A43" s="6" t="inlineStr">
        <is>
          <t xml:space="preserve">   Rotación de Activos Totales (DuPont)</t>
        </is>
      </c>
      <c r="B43" s="35" t="inlineStr">
        <is>
          <t>Velocidad de Capital</t>
        </is>
      </c>
      <c r="C43" s="6" t="inlineStr">
        <is>
          <t>Ventas / Activos Totales</t>
        </is>
      </c>
      <c r="D43" s="21" t="n">
        <v>0.6850611418334761</v>
      </c>
      <c r="E43" s="21" t="n">
        <v>0.6771743970750228</v>
      </c>
      <c r="F43" s="21" t="n">
        <v>0.8246150182568661</v>
      </c>
      <c r="G43" s="21" t="n">
        <v>0.8201858778193358</v>
      </c>
      <c r="H43" s="21" t="n">
        <v>0.7671083284799068</v>
      </c>
      <c r="I43" s="21" t="n">
        <v>0.6998612436316708</v>
      </c>
      <c r="J43" s="21" t="n">
        <v>0.6088358667625245</v>
      </c>
      <c r="K43" s="21" t="n">
        <v>0.4802305293252952</v>
      </c>
      <c r="L43" s="21" t="n">
        <v>0.6428402706116805</v>
      </c>
      <c r="M43" s="21" t="n">
        <v>0.8355880125771955</v>
      </c>
      <c r="N43" s="21" t="n">
        <v>0.6175035742101087</v>
      </c>
    </row>
    <row r="44" ht="22" customHeight="1">
      <c r="A44" s="42" t="inlineStr">
        <is>
          <t xml:space="preserve">   Dictamen Estratégico de Productividad</t>
        </is>
      </c>
      <c r="B44" s="35" t="inlineStr">
        <is>
          <t>Diagnóstico</t>
        </is>
      </c>
      <c r="C44" s="6" t="inlineStr">
        <is>
          <t>Desempeño Sectorial</t>
        </is>
      </c>
      <c r="D44" s="41" t="inlineStr">
        <is>
          <t>PRODUCTIVIDAD REZAGADA</t>
        </is>
      </c>
      <c r="E44" s="41" t="inlineStr">
        <is>
          <t>PRODUCTIVIDAD REZAGADA</t>
        </is>
      </c>
      <c r="F44" s="41" t="inlineStr">
        <is>
          <t>PRODUCTIVIDAD REZAGADA</t>
        </is>
      </c>
      <c r="G44" s="41" t="inlineStr">
        <is>
          <t>PRODUCTIVIDAD REZAGADA</t>
        </is>
      </c>
      <c r="H44" s="41" t="inlineStr">
        <is>
          <t>PRODUCTIVIDAD REZAGADA</t>
        </is>
      </c>
      <c r="I44" s="41" t="inlineStr">
        <is>
          <t>PRODUCTIVIDAD REZAGADA</t>
        </is>
      </c>
      <c r="J44" s="41" t="inlineStr">
        <is>
          <t>PRODUCTIVIDAD REZAGADA</t>
        </is>
      </c>
      <c r="K44" s="41" t="inlineStr">
        <is>
          <t>PRODUCTIVIDAD REZAGADA</t>
        </is>
      </c>
      <c r="L44" s="41" t="inlineStr">
        <is>
          <t>PRODUCTIVIDAD REZAGADA</t>
        </is>
      </c>
      <c r="M44" s="41" t="inlineStr">
        <is>
          <t>PRODUCTIVIDAD REZAGADA</t>
        </is>
      </c>
      <c r="N44" s="41" t="inlineStr">
        <is>
          <t>PRODUCTIVIDAD REZAGADA</t>
        </is>
      </c>
    </row>
    <row r="45" ht="22" customHeight="1">
      <c r="A45" s="42" t="inlineStr">
        <is>
          <t xml:space="preserve">   Cuadrante Estratégico DuPont</t>
        </is>
      </c>
      <c r="B45" s="35" t="inlineStr">
        <is>
          <t>Estrategia</t>
        </is>
      </c>
      <c r="C45" s="6" t="inlineStr">
        <is>
          <t>Margen vs Rotación</t>
        </is>
      </c>
      <c r="D45" s="41" t="inlineStr">
        <is>
          <t>⚠️ BAJA PRODUCTIVIDAD DE CAPITAL</t>
        </is>
      </c>
      <c r="E45" s="41" t="inlineStr">
        <is>
          <t>⚠️ BAJA PRODUCTIVIDAD DE CAPITAL</t>
        </is>
      </c>
      <c r="F45" s="41" t="inlineStr">
        <is>
          <t>⚠️ BAJA PRODUCTIVIDAD DE CAPITAL</t>
        </is>
      </c>
      <c r="G45" s="41" t="inlineStr">
        <is>
          <t>👑 MONOPOLIO / PODER DE MARCA</t>
        </is>
      </c>
      <c r="H45" s="41" t="inlineStr">
        <is>
          <t>⚠️ BAJA PRODUCTIVIDAD DE CAPITAL</t>
        </is>
      </c>
      <c r="I45" s="41" t="inlineStr">
        <is>
          <t>⚠️ BAJA PRODUCTIVIDAD DE CAPITAL</t>
        </is>
      </c>
      <c r="J45" s="41" t="inlineStr">
        <is>
          <t>⚠️ BAJA PRODUCTIVIDAD DE CAPITAL</t>
        </is>
      </c>
      <c r="K45" s="41" t="inlineStr">
        <is>
          <t>⚠️ BAJA PRODUCTIVIDAD DE CAPITAL</t>
        </is>
      </c>
      <c r="L45" s="41" t="inlineStr">
        <is>
          <t>⚠️ BAJA PRODUCTIVIDAD DE CAPITAL</t>
        </is>
      </c>
      <c r="M45" s="41" t="inlineStr">
        <is>
          <t>👑 MONOPOLIO / PODER DE MARCA</t>
        </is>
      </c>
      <c r="N45" s="41" t="inlineStr">
        <is>
          <t>👑 MONOPOLIO / PODER DE MARCA</t>
        </is>
      </c>
    </row>
    <row r="46" ht="22" customHeight="1">
      <c r="A46" s="42" t="inlineStr">
        <is>
          <t xml:space="preserve">   Ajuste Sectorial vs Mediana (De-meaning)</t>
        </is>
      </c>
      <c r="B46" s="35" t="inlineStr">
        <is>
          <t>Ventaja Neta</t>
        </is>
      </c>
      <c r="C46" s="6" t="inlineStr">
        <is>
          <t>GP/A Empresa - Mediana</t>
        </is>
      </c>
      <c r="D46" s="44" t="n">
        <v>-0.2522914279038198</v>
      </c>
      <c r="E46" s="44" t="n">
        <v>-0.2432858364945809</v>
      </c>
      <c r="F46" s="44" t="n">
        <v>-0.1645428412673213</v>
      </c>
      <c r="G46" s="44" t="n">
        <v>-0.1362783552727449</v>
      </c>
      <c r="H46" s="44" t="n">
        <v>-0.168769240369415</v>
      </c>
      <c r="I46" s="44" t="n">
        <v>-0.2471470650762445</v>
      </c>
      <c r="J46" s="44" t="n">
        <v>-0.2827484270096674</v>
      </c>
      <c r="K46" s="44" t="n">
        <v>-0.3141547306620787</v>
      </c>
      <c r="L46" s="44" t="n">
        <v>-0.2334117401038858</v>
      </c>
      <c r="M46" s="44" t="n">
        <v>-0.1145654061466445</v>
      </c>
      <c r="N46" s="44" t="n">
        <v>-0.1520406493596718</v>
      </c>
    </row>
    <row r="47" ht="10" customHeight="1"/>
    <row r="48" ht="10" customHeight="1"/>
    <row r="49" ht="10" customHeight="1"/>
    <row r="50" ht="22" customHeight="1">
      <c r="A50" s="18" t="inlineStr">
        <is>
          <t>RENDIMIENTO DEL CAPITAL (ROIC AJUSTADO VS WACC) Y CREACIÓN DE VALOR</t>
        </is>
      </c>
      <c r="B50" s="19" t="n"/>
      <c r="C50" s="19" t="n"/>
      <c r="D50" s="19" t="n"/>
      <c r="E50" s="19" t="n"/>
      <c r="F50" s="19" t="n"/>
      <c r="G50" s="19" t="n"/>
      <c r="H50" s="19" t="n"/>
      <c r="I50" s="19" t="n"/>
      <c r="J50" s="19" t="n"/>
      <c r="K50" s="19" t="n"/>
      <c r="L50" s="19" t="n"/>
      <c r="M50" s="19" t="n"/>
      <c r="N50" s="19" t="n"/>
    </row>
    <row r="51" ht="22" customHeight="1">
      <c r="A51" s="42" t="inlineStr">
        <is>
          <t xml:space="preserve">   ROC Greenblatt (EBIT / Capital Tangible Operativo Promedio)</t>
        </is>
      </c>
      <c r="B51" s="35" t="inlineStr">
        <is>
          <t>Productividad Pura</t>
        </is>
      </c>
      <c r="C51" s="6" t="inlineStr">
        <is>
          <t>EBIT / (NWC + Net PP&amp;E) Promedio</t>
        </is>
      </c>
      <c r="D51" s="45" t="n">
        <v>0.8759981919541961</v>
      </c>
      <c r="E51" s="45" t="n">
        <v>1.09305105002561</v>
      </c>
      <c r="F51" s="45" t="n">
        <v>1.32377358490566</v>
      </c>
      <c r="G51" s="45" t="n">
        <v>1.151974723538705</v>
      </c>
      <c r="H51" s="45" t="n">
        <v>0.9064740570017887</v>
      </c>
      <c r="I51" s="45" t="n">
        <v>0.7350863307732531</v>
      </c>
      <c r="J51" s="46" t="n">
        <v>0.1983199985711368</v>
      </c>
      <c r="K51" s="46" t="n">
        <v>-0.2885292657678914</v>
      </c>
      <c r="L51" s="46" t="n">
        <v>-0.4955018880303511</v>
      </c>
      <c r="M51" s="45" t="n">
        <v>0.3779019401110745</v>
      </c>
      <c r="N51" s="45" t="n">
        <v>0.9894797820538744</v>
      </c>
    </row>
    <row r="52" ht="22" customHeight="1">
      <c r="A52" s="6" t="inlineStr">
        <is>
          <t xml:space="preserve">      (+) EBIT Operativo ($M) [Income Statement]</t>
        </is>
      </c>
      <c r="B52" s="35" t="inlineStr">
        <is>
          <t>Desglose ROC</t>
        </is>
      </c>
      <c r="C52" s="6" t="inlineStr">
        <is>
          <t>Beneficio Operativo Auditado</t>
        </is>
      </c>
      <c r="D52" s="22" t="n">
        <v>2907</v>
      </c>
      <c r="E52" s="22" t="n">
        <v>3201</v>
      </c>
      <c r="F52" s="22" t="n">
        <v>2631</v>
      </c>
      <c r="G52" s="22" t="n">
        <v>1823</v>
      </c>
      <c r="H52" s="22" t="n">
        <v>1034</v>
      </c>
      <c r="I52" s="22" t="n">
        <v>440.703</v>
      </c>
      <c r="J52" s="22" t="n">
        <v>127.692</v>
      </c>
      <c r="K52" s="22" t="n">
        <v>-153.161</v>
      </c>
      <c r="L52" s="22" t="n">
        <v>-69.482</v>
      </c>
      <c r="M52" s="22" t="n">
        <v>56.273</v>
      </c>
      <c r="N52" s="22" t="n">
        <v>181.056</v>
      </c>
    </row>
    <row r="53" ht="22" customHeight="1">
      <c r="A53" s="6" t="inlineStr">
        <is>
          <t xml:space="preserve">      (+) Activos Corrientes Operativos ex-Caja ($M)</t>
        </is>
      </c>
      <c r="B53" s="35" t="inlineStr">
        <is>
          <t>Desglose ROC</t>
        </is>
      </c>
      <c r="C53" s="6" t="inlineStr">
        <is>
          <t>Current Assets - Efectivo</t>
        </is>
      </c>
      <c r="D53" s="22" t="n">
        <v>37133</v>
      </c>
      <c r="E53" s="22" t="n">
        <v>29903</v>
      </c>
      <c r="F53" s="22" t="n">
        <v>17507</v>
      </c>
      <c r="G53" s="22" t="n">
        <v>11738</v>
      </c>
      <c r="H53" s="22" t="n">
        <v>9043</v>
      </c>
      <c r="I53" s="22" t="n">
        <v>5590.393</v>
      </c>
      <c r="J53" s="22" t="n">
        <v>3490.413</v>
      </c>
      <c r="K53" s="22" t="n">
        <v>2404.116</v>
      </c>
      <c r="L53" s="22" t="n">
        <v>1070.791</v>
      </c>
      <c r="M53" s="22" t="n">
        <v>898.6590000000001</v>
      </c>
      <c r="N53" s="22" t="n">
        <v>635.321</v>
      </c>
    </row>
    <row r="54" ht="22" customHeight="1">
      <c r="A54" s="6" t="inlineStr">
        <is>
          <t xml:space="preserve">      (-) Pasivos Corrientes Operativos ex-Deuda CP ($M)</t>
        </is>
      </c>
      <c r="B54" s="35" t="inlineStr">
        <is>
          <t>Desglose ROC</t>
        </is>
      </c>
      <c r="C54" s="6" t="inlineStr">
        <is>
          <t>Current Liabilities - Deuda CP</t>
        </is>
      </c>
      <c r="D54" s="22" t="n">
        <v>36372</v>
      </c>
      <c r="E54" s="22" t="n">
        <v>28633</v>
      </c>
      <c r="F54" s="22" t="n">
        <v>16603</v>
      </c>
      <c r="G54" s="22" t="n">
        <v>11297</v>
      </c>
      <c r="H54" s="22" t="n">
        <v>8562</v>
      </c>
      <c r="I54" s="22" t="n">
        <v>5836.702</v>
      </c>
      <c r="J54" s="22" t="n">
        <v>3635.88</v>
      </c>
      <c r="K54" s="22" t="n">
        <v>1752.32</v>
      </c>
      <c r="L54" s="22" t="n">
        <v>1166.224</v>
      </c>
      <c r="M54" s="22" t="n">
        <v>968.032</v>
      </c>
      <c r="N54" s="22" t="n">
        <v>576.601</v>
      </c>
    </row>
    <row r="55" ht="22" customHeight="1">
      <c r="A55" s="6" t="inlineStr">
        <is>
          <t xml:space="preserve">      (=) Capital de Trabajo Neto Operativo (NWC $M)</t>
        </is>
      </c>
      <c r="B55" s="35" t="inlineStr">
        <is>
          <t>Desglose ROC</t>
        </is>
      </c>
      <c r="C55" s="6" t="inlineStr">
        <is>
          <t>Activos Op. - Pasivos Op.</t>
        </is>
      </c>
      <c r="D55" s="22" t="n">
        <v>761</v>
      </c>
      <c r="E55" s="22" t="n">
        <v>1270</v>
      </c>
      <c r="F55" s="22" t="n">
        <v>904</v>
      </c>
      <c r="G55" s="22" t="n">
        <v>441</v>
      </c>
      <c r="H55" s="22" t="n">
        <v>481</v>
      </c>
      <c r="I55" s="22" t="n">
        <v>-246.3090000000002</v>
      </c>
      <c r="J55" s="22" t="n">
        <v>-145.4670000000006</v>
      </c>
      <c r="K55" s="22" t="n">
        <v>651.796</v>
      </c>
      <c r="L55" s="22" t="n">
        <v>-95.43299999999977</v>
      </c>
      <c r="M55" s="22" t="n">
        <v>-69.37299999999993</v>
      </c>
      <c r="N55" s="22" t="n">
        <v>58.72000000000003</v>
      </c>
    </row>
    <row r="56" ht="22" customHeight="1">
      <c r="A56" s="6" t="inlineStr">
        <is>
          <t xml:space="preserve">      (+) PP&amp;E Neto ($M) [Balance Sheet]</t>
        </is>
      </c>
      <c r="B56" s="35" t="inlineStr">
        <is>
          <t>Desglose ROC</t>
        </is>
      </c>
      <c r="C56" s="6" t="inlineStr">
        <is>
          <t>Property, Plant &amp; Equipment Net</t>
        </is>
      </c>
      <c r="D56" s="22" t="n">
        <v>2303</v>
      </c>
      <c r="E56" s="22" t="n">
        <v>2303</v>
      </c>
      <c r="F56" s="22" t="n">
        <v>1380</v>
      </c>
      <c r="G56" s="22" t="n">
        <v>1250</v>
      </c>
      <c r="H56" s="22" t="n">
        <v>993</v>
      </c>
      <c r="I56" s="22" t="n">
        <v>807.367</v>
      </c>
      <c r="J56" s="22" t="n">
        <v>391.684</v>
      </c>
      <c r="K56" s="22" t="n">
        <v>244.257</v>
      </c>
      <c r="L56" s="22" t="n">
        <v>165.614</v>
      </c>
      <c r="M56" s="22" t="n">
        <v>114.837</v>
      </c>
      <c r="N56" s="22" t="n">
        <v>124.261</v>
      </c>
    </row>
    <row r="57" ht="22" customHeight="1">
      <c r="A57" s="6" t="inlineStr">
        <is>
          <t xml:space="preserve">      (=) Capital Tangible Operativo al Cierre ($M)</t>
        </is>
      </c>
      <c r="B57" s="35" t="inlineStr">
        <is>
          <t>Desglose ROC</t>
        </is>
      </c>
      <c r="C57" s="6" t="inlineStr">
        <is>
          <t>Net PP&amp;E + max(0, NWC)</t>
        </is>
      </c>
      <c r="D57" s="22" t="n">
        <v>3064</v>
      </c>
      <c r="E57" s="22" t="n">
        <v>3573</v>
      </c>
      <c r="F57" s="22" t="n">
        <v>2284</v>
      </c>
      <c r="G57" s="22" t="n">
        <v>1691</v>
      </c>
      <c r="H57" s="22" t="n">
        <v>1474</v>
      </c>
      <c r="I57" s="22" t="n">
        <v>807.367</v>
      </c>
      <c r="J57" s="22" t="n">
        <v>391.684</v>
      </c>
      <c r="K57" s="22" t="n">
        <v>896.0530000000001</v>
      </c>
      <c r="L57" s="22" t="n">
        <v>165.614</v>
      </c>
      <c r="M57" s="22" t="n">
        <v>114.837</v>
      </c>
      <c r="N57" s="22" t="n">
        <v>182.981</v>
      </c>
    </row>
    <row r="58" ht="22" customHeight="1">
      <c r="A58" s="6" t="inlineStr">
        <is>
          <t xml:space="preserve">      (=) Capital Tangible Operativo Promedio ($M)</t>
        </is>
      </c>
      <c r="B58" s="35" t="inlineStr">
        <is>
          <t>Desglose ROC</t>
        </is>
      </c>
      <c r="C58" s="6" t="inlineStr">
        <is>
          <t>Denominador ((t + t-1)/2)</t>
        </is>
      </c>
      <c r="D58" s="22" t="n">
        <v>3318.5</v>
      </c>
      <c r="E58" s="22" t="n">
        <v>2928.5</v>
      </c>
      <c r="F58" s="22" t="n">
        <v>1987.5</v>
      </c>
      <c r="G58" s="22" t="n">
        <v>1582.5</v>
      </c>
      <c r="H58" s="22" t="n">
        <v>1140.6835</v>
      </c>
      <c r="I58" s="22" t="n">
        <v>599.5255</v>
      </c>
      <c r="J58" s="22" t="n">
        <v>643.8685</v>
      </c>
      <c r="K58" s="22" t="n">
        <v>530.8335000000001</v>
      </c>
      <c r="L58" s="22" t="n">
        <v>140.2255</v>
      </c>
      <c r="M58" s="22" t="n">
        <v>148.909</v>
      </c>
      <c r="N58" s="22" t="n">
        <v>182.981</v>
      </c>
    </row>
    <row r="59" ht="22" customHeight="1">
      <c r="A59" s="42" t="inlineStr">
        <is>
          <t xml:space="preserve">   ROIC Tradicional (NOPAT / Capital Invertido Promedio)</t>
        </is>
      </c>
      <c r="B59" s="35" t="inlineStr">
        <is>
          <t>Retorno Contable</t>
        </is>
      </c>
      <c r="C59" s="6" t="inlineStr">
        <is>
          <t>EBIT*(1-t) / IC Promedio</t>
        </is>
      </c>
      <c r="D59" s="46" t="n">
        <v>0.1741600995437578</v>
      </c>
      <c r="E59" s="46" t="n">
        <v>0.2756108354551147</v>
      </c>
      <c r="F59" s="46" t="n">
        <v>0.4240321674160275</v>
      </c>
      <c r="G59" s="46" t="n">
        <v>0.3358225875017713</v>
      </c>
      <c r="H59" s="46" t="n">
        <v>0.2718922625392658</v>
      </c>
      <c r="I59" s="46" t="n">
        <v>0.2111013630427926</v>
      </c>
      <c r="J59" s="46" t="n">
        <v>0.06197046390977078</v>
      </c>
      <c r="K59" s="46" t="n">
        <v>-0.1062500076835468</v>
      </c>
      <c r="L59" s="46" t="n">
        <v>-0.1155768125340841</v>
      </c>
      <c r="M59" s="46" t="n">
        <v>0.08374063775986192</v>
      </c>
      <c r="N59" s="46" t="n">
        <v>0.2393103288173111</v>
      </c>
    </row>
    <row r="60" ht="22" customHeight="1">
      <c r="A60" s="42" t="inlineStr">
        <is>
          <t xml:space="preserve">   ROIC Ajustado por Intangibles (Damodaran - Capital Promedio)</t>
        </is>
      </c>
      <c r="B60" s="35" t="inlineStr">
        <is>
          <t>Retorno Económico</t>
        </is>
      </c>
      <c r="C60" s="6" t="inlineStr">
        <is>
          <t>NOPAT Adj / IC Promedio</t>
        </is>
      </c>
      <c r="D60" s="46" t="n">
        <v>0.1245003597318859</v>
      </c>
      <c r="E60" s="45" t="n">
        <v>0.2233996936958894</v>
      </c>
      <c r="F60" s="45" t="n">
        <v>0.3048908444842894</v>
      </c>
      <c r="G60" s="45" t="n">
        <v>0.3091911700688882</v>
      </c>
      <c r="H60" s="45" t="n">
        <v>0.3043515013964325</v>
      </c>
      <c r="I60" s="45" t="n">
        <v>0.2519495791229983</v>
      </c>
      <c r="J60" s="46" t="n">
        <v>0.1438939818745283</v>
      </c>
      <c r="K60" s="46" t="n">
        <v>0.07232600023918458</v>
      </c>
      <c r="L60" s="46" t="n">
        <v>0.1409352827932043</v>
      </c>
      <c r="M60" s="46" t="n">
        <v>0.1968871032995366</v>
      </c>
      <c r="N60" s="45" t="n">
        <v>0.3077129870641689</v>
      </c>
    </row>
    <row r="61" ht="22" customHeight="1">
      <c r="A61" s="6" t="inlineStr">
        <is>
          <t xml:space="preserve">   Stock de Intangibles Capitalizados ($M)</t>
        </is>
      </c>
      <c r="B61" s="35" t="inlineStr">
        <is>
          <t>Capital Oculto</t>
        </is>
      </c>
      <c r="C61" s="6" t="inlineStr">
        <is>
          <t>Stock Neto I+D y Marca</t>
        </is>
      </c>
      <c r="D61" s="22" t="n">
        <v>7451.166666666666</v>
      </c>
      <c r="E61" s="22" t="n">
        <v>7451.166666666666</v>
      </c>
      <c r="F61" s="22" t="n">
        <v>5930.374999999999</v>
      </c>
      <c r="G61" s="22" t="n">
        <v>4622.317666666667</v>
      </c>
      <c r="H61" s="22" t="n">
        <v>2962.836958333333</v>
      </c>
      <c r="I61" s="22" t="n">
        <v>1738.69</v>
      </c>
      <c r="J61" s="22" t="n">
        <v>1102.726333333333</v>
      </c>
      <c r="K61" s="22" t="n">
        <v>730.9545833333333</v>
      </c>
      <c r="L61" s="22" t="n">
        <v>420.811375</v>
      </c>
      <c r="M61" s="22" t="n">
        <v>210.307</v>
      </c>
      <c r="N61" s="22" t="n">
        <v>88.95050000000001</v>
      </c>
    </row>
    <row r="62" ht="22" customHeight="1">
      <c r="A62" s="6" t="inlineStr">
        <is>
          <t xml:space="preserve">   Capital Invertido Reconstituido Promedio ($M)</t>
        </is>
      </c>
      <c r="B62" s="35" t="inlineStr">
        <is>
          <t>Base de Capital</t>
        </is>
      </c>
      <c r="C62" s="6" t="inlineStr">
        <is>
          <t>Activos Operativos + Intangibles Prom.</t>
        </is>
      </c>
      <c r="D62" s="22" t="n">
        <v>18300.66666666666</v>
      </c>
      <c r="E62" s="22" t="n">
        <v>14851.77083333333</v>
      </c>
      <c r="F62" s="22" t="n">
        <v>10151.84633333333</v>
      </c>
      <c r="G62" s="22" t="n">
        <v>7321.0773125</v>
      </c>
      <c r="H62" s="22" t="n">
        <v>4822.698479166666</v>
      </c>
      <c r="I62" s="22" t="n">
        <v>2777.672166666666</v>
      </c>
      <c r="J62" s="22" t="n">
        <v>2256.184958333333</v>
      </c>
      <c r="K62" s="22" t="n">
        <v>1714.679979166667</v>
      </c>
      <c r="L62" s="22" t="n">
        <v>790.4881874999999</v>
      </c>
      <c r="M62" s="22" t="n">
        <v>586.4232500000001</v>
      </c>
      <c r="N62" s="22" t="n">
        <v>645.6445000000001</v>
      </c>
    </row>
    <row r="63" ht="22" customHeight="1">
      <c r="A63" s="6" t="inlineStr">
        <is>
          <t xml:space="preserve">   Costo Promedio Ponderado de Capital (WACC)</t>
        </is>
      </c>
      <c r="B63" s="35" t="inlineStr">
        <is>
          <t>Tasa de Corte</t>
        </is>
      </c>
      <c r="C63" s="6" t="inlineStr">
        <is>
          <t>Costo Ponderado Equity + Deuda</t>
        </is>
      </c>
      <c r="D63" s="20" t="n">
        <v>0.1039999361819735</v>
      </c>
      <c r="E63" s="20" t="n">
        <v>0.1039999361819735</v>
      </c>
      <c r="F63" s="20" t="n">
        <v>0.1039999361819735</v>
      </c>
      <c r="G63" s="20" t="n">
        <v>0.1039999361819735</v>
      </c>
      <c r="H63" s="20" t="n">
        <v>0.1039999361819735</v>
      </c>
      <c r="I63" s="20" t="n">
        <v>0.1039999361819735</v>
      </c>
      <c r="J63" s="20" t="n">
        <v>0.1039999361819735</v>
      </c>
      <c r="K63" s="20" t="n">
        <v>0.1039999361819735</v>
      </c>
      <c r="L63" s="20" t="n">
        <v>0.1039999361819735</v>
      </c>
      <c r="M63" s="20" t="n">
        <v>0.1039999361819735</v>
      </c>
      <c r="N63" s="20" t="n">
        <v>0.1039999361819735</v>
      </c>
    </row>
    <row r="64" ht="22" customHeight="1">
      <c r="A64" s="42" t="inlineStr">
        <is>
          <t xml:space="preserve">   Spread Económico Neto (ROIC Adj - WACC)</t>
        </is>
      </c>
      <c r="B64" s="35" t="inlineStr">
        <is>
          <t>Creación de Valor</t>
        </is>
      </c>
      <c r="C64" s="6" t="inlineStr">
        <is>
          <t>Excedente sobre Costo de Capital</t>
        </is>
      </c>
      <c r="D64" s="44" t="n">
        <v>0.02050042354991247</v>
      </c>
      <c r="E64" s="44" t="n">
        <v>0.1193997575139159</v>
      </c>
      <c r="F64" s="47" t="n">
        <v>0.200890908302316</v>
      </c>
      <c r="G64" s="47" t="n">
        <v>0.2051912338869148</v>
      </c>
      <c r="H64" s="47" t="n">
        <v>0.200351565214459</v>
      </c>
      <c r="I64" s="44" t="n">
        <v>0.1479496429410248</v>
      </c>
      <c r="J64" s="44" t="n">
        <v>0.03989404569255481</v>
      </c>
      <c r="K64" s="48" t="n">
        <v>-0.0316739359427889</v>
      </c>
      <c r="L64" s="44" t="n">
        <v>0.03693534661123085</v>
      </c>
      <c r="M64" s="44" t="n">
        <v>0.09288716711756315</v>
      </c>
      <c r="N64" s="47" t="n">
        <v>0.2037130508821955</v>
      </c>
    </row>
    <row r="65" ht="10" customHeight="1"/>
    <row r="66" ht="10" customHeight="1"/>
    <row r="67" ht="22" customHeight="1">
      <c r="A67" s="18" t="inlineStr">
        <is>
          <t>AUDITORÍA DE MERCADO EN TIEMPO REAL &amp; FOSO DEFENSIVO</t>
        </is>
      </c>
      <c r="B67" s="19" t="n"/>
      <c r="C67" s="19" t="n"/>
      <c r="D67" s="19" t="n"/>
      <c r="E67" s="19" t="n"/>
      <c r="F67" s="19" t="n"/>
      <c r="G67" s="19" t="n"/>
      <c r="H67" s="19" t="n"/>
      <c r="I67" s="19" t="n"/>
      <c r="J67" s="19" t="n"/>
      <c r="K67" s="19" t="n"/>
      <c r="L67" s="19" t="n"/>
      <c r="M67" s="19" t="n"/>
      <c r="N67" s="19" t="n"/>
    </row>
    <row r="68" ht="18.5" customHeight="1">
      <c r="A68" s="42" t="inlineStr">
        <is>
          <t xml:space="preserve">   Dictamen de Foso Defensivo (Moat)</t>
        </is>
      </c>
      <c r="B68" s="49" t="inlineStr">
        <is>
          <t>⚖️ RENDIMIENTO COMPETITIVO ESTÁNDAR</t>
        </is>
      </c>
      <c r="C68" s="42" t="inlineStr">
        <is>
          <t>Ke: 11.16% | Kd: 3.74%</t>
        </is>
      </c>
      <c r="D68" s="6" t="inlineStr">
        <is>
          <t>Precio: $1826.58 | Market Cap: $92,602.7M</t>
        </is>
      </c>
    </row>
    <row r="69" ht="18.5" customHeight="1">
      <c r="A69" s="42" t="inlineStr">
        <is>
          <t xml:space="preserve">   Parámetros Macro y Validación</t>
        </is>
      </c>
      <c r="B69" s="6" t="inlineStr">
        <is>
          <t>Rf (Bono 10Y): 4.96% | Beta: 1.31</t>
        </is>
      </c>
      <c r="C69" s="35" t="inlineStr">
        <is>
          <t>Sensibilidad N-1 (2a): 12.14%</t>
        </is>
      </c>
      <c r="D69" s="35" t="inlineStr">
        <is>
          <t>Sensibilidad N+1 (4a): 12.85%</t>
        </is>
      </c>
    </row>
  </sheetData>
  <mergeCells count="2">
    <mergeCell ref="C5:N5"/>
    <mergeCell ref="E4:N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23"/>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ht="30" customHeight="1">
      <c r="A1" s="1" t="inlineStr">
        <is>
          <t>MERCADOLIBRE INC (MELI) - Análisis de Pares y Distribución Sectorial (SIC 7389)</t>
        </is>
      </c>
    </row>
    <row r="2" ht="18" customHeight="1">
      <c r="A2" s="2" t="inlineStr">
        <is>
          <t>Auditoría Contable del Grupo de Pares y Cálculo Estadístico de Medianas Oficiales para el Mohanram G-Score | Base: LTM (Últimos 12 Meses Móviles / FY2024-FY2025 Auditado)</t>
        </is>
      </c>
    </row>
    <row r="3" ht="8" customHeight="1"/>
    <row r="4" ht="22" customHeight="1">
      <c r="A4" s="18" t="inlineStr">
        <is>
          <t>GRUPO DE PARES COMPARABLES</t>
        </is>
      </c>
      <c r="B4" s="29" t="inlineStr">
        <is>
          <t>Industria: E-Commerce Marketplaces &amp; Platform Services</t>
        </is>
      </c>
      <c r="C4" s="29" t="inlineStr">
        <is>
          <t>Empresas Auditadas: 3</t>
        </is>
      </c>
      <c r="D4" s="50" t="inlineStr">
        <is>
          <t>Fuente: SEC EDGAR Form 10-K &amp; 6-K Audited Reports</t>
        </is>
      </c>
      <c r="E4" s="19" t="n"/>
      <c r="F4" s="19" t="n"/>
      <c r="G4" s="19" t="n"/>
      <c r="H4" s="19" t="n"/>
      <c r="I4" s="19" t="n"/>
      <c r="J4" s="19" t="n"/>
      <c r="K4" s="19" t="n"/>
      <c r="L4" s="19" t="n"/>
      <c r="M4" s="19" t="n"/>
      <c r="N4" s="19" t="n"/>
      <c r="O4" s="19" t="n"/>
      <c r="P4" s="19" t="n"/>
      <c r="Q4" s="19" t="n"/>
      <c r="R4" s="19" t="n"/>
      <c r="S4" s="19" t="n"/>
      <c r="T4" s="19" t="n"/>
    </row>
    <row r="5" ht="10" customHeight="1"/>
    <row r="6" ht="25" customHeight="1">
      <c r="A6" s="51" t="inlineStr">
        <is>
          <t>Ticker</t>
        </is>
      </c>
      <c r="B6" s="51" t="inlineStr">
        <is>
          <t>Empresa Competidora</t>
        </is>
      </c>
      <c r="C6" s="51" t="inlineStr">
        <is>
          <t>Ingresos LTM ($M)</t>
        </is>
      </c>
      <c r="D6" s="51" t="inlineStr">
        <is>
          <t>Activos Totales LTM ($M)</t>
        </is>
      </c>
      <c r="E6" s="51" t="inlineStr">
        <is>
          <t>Gasto I+D LTM ($M)</t>
        </is>
      </c>
      <c r="F6" s="51" t="inlineStr">
        <is>
          <t>Intensidad I+D (I+D/Act)</t>
        </is>
      </c>
      <c r="G6" s="51" t="inlineStr">
        <is>
          <t>CapEx LTM ($M)</t>
        </is>
      </c>
      <c r="H6" s="51" t="inlineStr">
        <is>
          <t>Inversión Total ((I+D+CapEx)/Act)</t>
        </is>
      </c>
      <c r="I6" s="51" t="inlineStr">
        <is>
          <t>Utilidad Neta LTM ($M)</t>
        </is>
      </c>
      <c r="J6" s="51" t="inlineStr">
        <is>
          <t>ROA LTM (%)</t>
        </is>
      </c>
      <c r="K6" s="51" t="inlineStr">
        <is>
          <t>Flujo Operativo CFO LTM ($M)</t>
        </is>
      </c>
      <c r="L6" s="51" t="inlineStr">
        <is>
          <t>CFROA LTM (%)</t>
        </is>
      </c>
      <c r="M6" s="51" t="inlineStr">
        <is>
          <t>Gastos SG&amp;A LTM ($M)</t>
        </is>
      </c>
      <c r="N6" s="51" t="inlineStr">
        <is>
          <t>Utilidad Bruta LTM ($M)</t>
        </is>
      </c>
      <c r="O6" s="51" t="inlineStr">
        <is>
          <t>GP / Activos (%) [Novy-Marx]</t>
        </is>
      </c>
      <c r="P6" s="51" t="inlineStr">
        <is>
          <t>GP / Activos Ex-Caja (%)</t>
        </is>
      </c>
      <c r="Q6" s="51" t="inlineStr">
        <is>
          <t>ROIC Ajustado (%)</t>
        </is>
      </c>
      <c r="R6" s="51" t="inlineStr">
        <is>
          <t>WACC (%)</t>
        </is>
      </c>
      <c r="S6" s="51" t="inlineStr">
        <is>
          <t>Spread Económico (%)</t>
        </is>
      </c>
      <c r="T6" s="51" t="inlineStr">
        <is>
          <t>ROC Greenblatt (%)</t>
        </is>
      </c>
    </row>
    <row r="7" ht="22" customHeight="1">
      <c r="A7" s="52" t="inlineStr">
        <is>
          <t>MELI</t>
        </is>
      </c>
      <c r="B7" s="30" t="inlineStr">
        <is>
          <t>MercadoLibre, Inc.</t>
        </is>
      </c>
      <c r="C7" s="53" t="n">
        <v>24461</v>
      </c>
      <c r="D7" s="53" t="n">
        <v>21850</v>
      </c>
      <c r="E7" s="53" t="n">
        <v>1850</v>
      </c>
      <c r="F7" s="54">
        <f>IF(D7&gt;0, E7/D7, 0)</f>
        <v/>
      </c>
      <c r="G7" s="53" t="n">
        <v>980</v>
      </c>
      <c r="H7" s="54">
        <f>IF(D7&gt;0, (E7+G7)/D7, 0)</f>
        <v/>
      </c>
      <c r="I7" s="53" t="n">
        <v>1820</v>
      </c>
      <c r="J7" s="54">
        <f>IF(D7&gt;0, I7/D7, 0)</f>
        <v/>
      </c>
      <c r="K7" s="53" t="n">
        <v>3950</v>
      </c>
      <c r="L7" s="54">
        <f>IF(D7&gt;0, K7/D7, 0)</f>
        <v/>
      </c>
      <c r="M7" s="53" t="n">
        <v>8200</v>
      </c>
      <c r="N7" s="53" t="n">
        <v>15014</v>
      </c>
      <c r="O7" s="54">
        <f>IF(D7&gt;0, N7/D7, 0)</f>
        <v/>
      </c>
      <c r="P7" s="54" t="n">
        <v>0.8458591549295774</v>
      </c>
      <c r="Q7" s="54" t="n">
        <v>0.1245003597318859</v>
      </c>
      <c r="R7" s="54" t="n">
        <v>0.1039999361819735</v>
      </c>
      <c r="S7" s="55">
        <f>Q7-R7</f>
        <v/>
      </c>
      <c r="T7" s="54" t="n">
        <v>0.8759981919541961</v>
      </c>
    </row>
    <row r="8" ht="18.5" customHeight="1">
      <c r="A8" s="56" t="inlineStr">
        <is>
          <t>AMZN</t>
        </is>
      </c>
      <c r="B8" s="57" t="inlineStr">
        <is>
          <t>Amazon.com, Inc.</t>
        </is>
      </c>
      <c r="C8" s="22" t="n">
        <v>620130</v>
      </c>
      <c r="D8" s="22" t="n">
        <v>560000</v>
      </c>
      <c r="E8" s="22" t="n">
        <v>85000</v>
      </c>
      <c r="F8" s="20">
        <f>IF(D8&gt;0, E8/D8, 0)</f>
        <v/>
      </c>
      <c r="G8" s="22" t="n">
        <v>55000</v>
      </c>
      <c r="H8" s="20">
        <f>IF(D8&gt;0, (E8+G8)/D8, 0)</f>
        <v/>
      </c>
      <c r="I8" s="22" t="n">
        <v>45000</v>
      </c>
      <c r="J8" s="20">
        <f>IF(D8&gt;0, I8/D8, 0)</f>
        <v/>
      </c>
      <c r="K8" s="22" t="n">
        <v>115000</v>
      </c>
      <c r="L8" s="20">
        <f>IF(D8&gt;0, K8/D8, 0)</f>
        <v/>
      </c>
      <c r="M8" s="22" t="n">
        <v>140000</v>
      </c>
      <c r="N8" s="22" t="n">
        <v>305000</v>
      </c>
      <c r="O8" s="20">
        <f>IF(D8&gt;0, N8/D8, 0)</f>
        <v/>
      </c>
      <c r="P8" s="20" t="n">
        <v>0.6461864406779662</v>
      </c>
      <c r="Q8" s="20" t="n">
        <v>0.172</v>
      </c>
      <c r="R8" s="20" t="n">
        <v>0.092</v>
      </c>
      <c r="S8" s="23">
        <f>Q8-R8</f>
        <v/>
      </c>
      <c r="T8" s="20" t="n">
        <v>0.32</v>
      </c>
    </row>
    <row r="9" ht="18.5" customHeight="1">
      <c r="A9" s="56" t="inlineStr">
        <is>
          <t>SE</t>
        </is>
      </c>
      <c r="B9" s="57" t="inlineStr">
        <is>
          <t>Sea Limited</t>
        </is>
      </c>
      <c r="C9" s="22" t="n">
        <v>15800</v>
      </c>
      <c r="D9" s="22" t="n">
        <v>12800</v>
      </c>
      <c r="E9" s="22" t="n">
        <v>1250</v>
      </c>
      <c r="F9" s="20">
        <f>IF(D9&gt;0, E9/D9, 0)</f>
        <v/>
      </c>
      <c r="G9" s="22" t="n">
        <v>420</v>
      </c>
      <c r="H9" s="20">
        <f>IF(D9&gt;0, (E9+G9)/D9, 0)</f>
        <v/>
      </c>
      <c r="I9" s="22" t="n">
        <v>450</v>
      </c>
      <c r="J9" s="20">
        <f>IF(D9&gt;0, I9/D9, 0)</f>
        <v/>
      </c>
      <c r="K9" s="22" t="n">
        <v>2100</v>
      </c>
      <c r="L9" s="20">
        <f>IF(D9&gt;0, K9/D9, 0)</f>
        <v/>
      </c>
      <c r="M9" s="22" t="n">
        <v>4800</v>
      </c>
      <c r="N9" s="22" t="n">
        <v>6900</v>
      </c>
      <c r="O9" s="20">
        <f>IF(D9&gt;0, N9/D9, 0)</f>
        <v/>
      </c>
      <c r="P9" s="20" t="n">
        <v>0.71875</v>
      </c>
      <c r="Q9" s="20" t="n">
        <v>0.115</v>
      </c>
      <c r="R9" s="20" t="n">
        <v>0.11</v>
      </c>
      <c r="S9" s="23">
        <f>Q9-R9</f>
        <v/>
      </c>
      <c r="T9" s="20" t="n">
        <v>0.185</v>
      </c>
    </row>
    <row r="10" ht="24" customHeight="1">
      <c r="A10" s="58" t="inlineStr">
        <is>
          <t>MEDIANA</t>
        </is>
      </c>
      <c r="B10" s="59" t="inlineStr">
        <is>
          <t>MEDIANA DEL SECTOR (Benchmark G-Score &amp; Novy-Marx)</t>
        </is>
      </c>
      <c r="C10" s="60">
        <f>MEDIAN(C7:C9)</f>
        <v/>
      </c>
      <c r="D10" s="60">
        <f>MEDIAN(D7:D9)</f>
        <v/>
      </c>
      <c r="E10" s="60">
        <f>MEDIAN(E7:E9)</f>
        <v/>
      </c>
      <c r="F10" s="61">
        <f>MEDIAN(F7:F9)</f>
        <v/>
      </c>
      <c r="G10" s="60">
        <f>MEDIAN(G7:G9)</f>
        <v/>
      </c>
      <c r="H10" s="61">
        <f>MEDIAN(H7:H9)</f>
        <v/>
      </c>
      <c r="I10" s="60">
        <f>MEDIAN(I7:I9)</f>
        <v/>
      </c>
      <c r="J10" s="61">
        <f>MEDIAN(J7:J9)</f>
        <v/>
      </c>
      <c r="K10" s="60">
        <f>MEDIAN(K7:K9)</f>
        <v/>
      </c>
      <c r="L10" s="61">
        <f>MEDIAN(L7:L9)</f>
        <v/>
      </c>
      <c r="M10" s="60">
        <f>MEDIAN(M7:M9)</f>
        <v/>
      </c>
      <c r="N10" s="60">
        <f>MEDIAN(N7:N9)</f>
        <v/>
      </c>
      <c r="O10" s="61">
        <f>MEDIAN(O7:O9)</f>
        <v/>
      </c>
      <c r="P10" s="61">
        <f>MEDIAN(P7:P9)</f>
        <v/>
      </c>
      <c r="Q10" s="61">
        <f>MEDIAN(Q7:Q9)</f>
        <v/>
      </c>
      <c r="R10" s="61">
        <f>MEDIAN(R7:R9)</f>
        <v/>
      </c>
      <c r="S10" s="62">
        <f>MEDIAN(S7:S9)</f>
        <v/>
      </c>
      <c r="T10" s="61">
        <f>MEDIAN(T7:T9)</f>
        <v/>
      </c>
    </row>
    <row r="11" ht="22" customHeight="1">
      <c r="A11" s="41" t="inlineStr">
        <is>
          <t>PROMEDIO</t>
        </is>
      </c>
      <c r="B11" s="63" t="inlineStr">
        <is>
          <t>PROMEDIO DEL SECTOR (Media Aritmética)</t>
        </is>
      </c>
      <c r="C11" s="64">
        <f>AVERAGE(C7:C9)</f>
        <v/>
      </c>
      <c r="D11" s="64">
        <f>AVERAGE(D7:D9)</f>
        <v/>
      </c>
      <c r="E11" s="64">
        <f>AVERAGE(E7:E9)</f>
        <v/>
      </c>
      <c r="F11" s="46">
        <f>AVERAGE(F7:F9)</f>
        <v/>
      </c>
      <c r="G11" s="64">
        <f>AVERAGE(G7:G9)</f>
        <v/>
      </c>
      <c r="H11" s="46">
        <f>AVERAGE(H7:H9)</f>
        <v/>
      </c>
      <c r="I11" s="64">
        <f>AVERAGE(I7:I9)</f>
        <v/>
      </c>
      <c r="J11" s="46">
        <f>AVERAGE(J7:J9)</f>
        <v/>
      </c>
      <c r="K11" s="64">
        <f>AVERAGE(K7:K9)</f>
        <v/>
      </c>
      <c r="L11" s="46">
        <f>AVERAGE(L7:L9)</f>
        <v/>
      </c>
      <c r="M11" s="64">
        <f>AVERAGE(M7:M9)</f>
        <v/>
      </c>
      <c r="N11" s="64">
        <f>AVERAGE(N7:N9)</f>
        <v/>
      </c>
      <c r="O11" s="46">
        <f>AVERAGE(O7:O9)</f>
        <v/>
      </c>
      <c r="P11" s="46">
        <f>AVERAGE(P7:P9)</f>
        <v/>
      </c>
      <c r="Q11" s="46">
        <f>AVERAGE(Q7:Q9)</f>
        <v/>
      </c>
      <c r="R11" s="46">
        <f>AVERAGE(R7:R9)</f>
        <v/>
      </c>
      <c r="S11" s="44">
        <f>AVERAGE(S7:S9)</f>
        <v/>
      </c>
      <c r="T11" s="46">
        <f>AVERAGE(T7:T9)</f>
        <v/>
      </c>
    </row>
    <row r="12" ht="22" customHeight="1">
      <c r="A12" s="65" t="inlineStr">
        <is>
          <t>P75 LÍDER</t>
        </is>
      </c>
      <c r="B12" s="66" t="inlineStr">
        <is>
          <t>PERCENTIL 75 SUPERIOR (Cláusula Líder G4)</t>
        </is>
      </c>
      <c r="C12" s="67">
        <f>PERCENTILE(C7:C9, 0.75)</f>
        <v/>
      </c>
      <c r="D12" s="67">
        <f>PERCENTILE(D7:D9, 0.75)</f>
        <v/>
      </c>
      <c r="E12" s="67">
        <f>PERCENTILE(E7:E9, 0.75)</f>
        <v/>
      </c>
      <c r="F12" s="68">
        <f>PERCENTILE(F7:F9, 0.75)</f>
        <v/>
      </c>
      <c r="G12" s="67">
        <f>PERCENTILE(G7:G9, 0.75)</f>
        <v/>
      </c>
      <c r="H12" s="68">
        <f>PERCENTILE(H7:H9, 0.75)</f>
        <v/>
      </c>
      <c r="I12" s="67">
        <f>PERCENTILE(I7:I9, 0.75)</f>
        <v/>
      </c>
      <c r="J12" s="68">
        <f>PERCENTILE(J7:J9, 0.75)</f>
        <v/>
      </c>
      <c r="K12" s="67">
        <f>PERCENTILE(K7:K9, 0.75)</f>
        <v/>
      </c>
      <c r="L12" s="68">
        <f>PERCENTILE(L7:L9, 0.75)</f>
        <v/>
      </c>
      <c r="M12" s="67">
        <f>PERCENTILE(M7:M9, 0.75)</f>
        <v/>
      </c>
      <c r="N12" s="67">
        <f>PERCENTILE(N7:N9, 0.75)</f>
        <v/>
      </c>
      <c r="O12" s="68">
        <f>PERCENTILE(O7:O9, 0.75)</f>
        <v/>
      </c>
      <c r="P12" s="68">
        <f>PERCENTILE(P7:P9, 0.75)</f>
        <v/>
      </c>
      <c r="Q12" s="68">
        <f>PERCENTILE(Q7:Q9, 0.75)</f>
        <v/>
      </c>
      <c r="R12" s="68">
        <f>PERCENTILE(R7:R9, 0.75)</f>
        <v/>
      </c>
      <c r="S12" s="69">
        <f>PERCENTILE(S7:S9, 0.75)</f>
        <v/>
      </c>
      <c r="T12" s="68">
        <f>PERCENTILE(T7:T9, 0.75)</f>
        <v/>
      </c>
    </row>
    <row r="13" ht="18.5" customHeight="1">
      <c r="A13" s="56" t="inlineStr">
        <is>
          <t>MÁXIMO</t>
        </is>
      </c>
      <c r="B13" s="57" t="inlineStr">
        <is>
          <t>MÁXIMO DEL SECTOR</t>
        </is>
      </c>
      <c r="C13" s="22">
        <f>MAX(C7:C9)</f>
        <v/>
      </c>
      <c r="D13" s="22">
        <f>MAX(D7:D9)</f>
        <v/>
      </c>
      <c r="E13" s="22">
        <f>MAX(E7:E9)</f>
        <v/>
      </c>
      <c r="F13" s="20">
        <f>MAX(F7:F9)</f>
        <v/>
      </c>
      <c r="G13" s="22">
        <f>MAX(G7:G9)</f>
        <v/>
      </c>
      <c r="H13" s="20">
        <f>MAX(H7:H9)</f>
        <v/>
      </c>
      <c r="I13" s="22">
        <f>MAX(I7:I9)</f>
        <v/>
      </c>
      <c r="J13" s="20">
        <f>MAX(J7:J9)</f>
        <v/>
      </c>
      <c r="K13" s="22">
        <f>MAX(K7:K9)</f>
        <v/>
      </c>
      <c r="L13" s="20">
        <f>MAX(L7:L9)</f>
        <v/>
      </c>
      <c r="M13" s="22">
        <f>MAX(M7:M9)</f>
        <v/>
      </c>
      <c r="N13" s="22">
        <f>MAX(N7:N9)</f>
        <v/>
      </c>
      <c r="O13" s="20">
        <f>MAX(O7:O9)</f>
        <v/>
      </c>
      <c r="P13" s="20">
        <f>MAX(P7:P9)</f>
        <v/>
      </c>
      <c r="Q13" s="20">
        <f>MAX(Q7:Q9)</f>
        <v/>
      </c>
      <c r="R13" s="20">
        <f>MAX(R7:R9)</f>
        <v/>
      </c>
      <c r="S13" s="23">
        <f>MAX(S7:S9)</f>
        <v/>
      </c>
      <c r="T13" s="20">
        <f>MAX(T7:T9)</f>
        <v/>
      </c>
    </row>
    <row r="14" ht="18.5" customHeight="1">
      <c r="A14" s="56" t="inlineStr">
        <is>
          <t>MÍNIMO</t>
        </is>
      </c>
      <c r="B14" s="57" t="inlineStr">
        <is>
          <t>MÍNIMO DEL SECTOR</t>
        </is>
      </c>
      <c r="C14" s="22">
        <f>MIN(C7:C9)</f>
        <v/>
      </c>
      <c r="D14" s="22">
        <f>MIN(D7:D9)</f>
        <v/>
      </c>
      <c r="E14" s="22">
        <f>MIN(E7:E9)</f>
        <v/>
      </c>
      <c r="F14" s="20">
        <f>MIN(F7:F9)</f>
        <v/>
      </c>
      <c r="G14" s="22">
        <f>MIN(G7:G9)</f>
        <v/>
      </c>
      <c r="H14" s="20">
        <f>MIN(H7:H9)</f>
        <v/>
      </c>
      <c r="I14" s="22">
        <f>MIN(I7:I9)</f>
        <v/>
      </c>
      <c r="J14" s="20">
        <f>MIN(J7:J9)</f>
        <v/>
      </c>
      <c r="K14" s="22">
        <f>MIN(K7:K9)</f>
        <v/>
      </c>
      <c r="L14" s="20">
        <f>MIN(L7:L9)</f>
        <v/>
      </c>
      <c r="M14" s="22">
        <f>MIN(M7:M9)</f>
        <v/>
      </c>
      <c r="N14" s="22">
        <f>MIN(N7:N9)</f>
        <v/>
      </c>
      <c r="O14" s="20">
        <f>MIN(O7:O9)</f>
        <v/>
      </c>
      <c r="P14" s="20">
        <f>MIN(P7:P9)</f>
        <v/>
      </c>
      <c r="Q14" s="20">
        <f>MIN(Q7:Q9)</f>
        <v/>
      </c>
      <c r="R14" s="20">
        <f>MIN(R7:R9)</f>
        <v/>
      </c>
      <c r="S14" s="23">
        <f>MIN(S7:S9)</f>
        <v/>
      </c>
      <c r="T14" s="20">
        <f>MIN(T7:T9)</f>
        <v/>
      </c>
    </row>
    <row r="15" ht="22" customHeight="1">
      <c r="A15" s="70" t="inlineStr">
        <is>
          <t>RANKING</t>
        </is>
      </c>
      <c r="B15" s="71" t="inlineStr">
        <is>
          <t>POSICIÓN / RANKING DE MELI (# de 3)</t>
        </is>
      </c>
      <c r="C15" s="72">
        <f>RANK(C7, C7:C9)</f>
        <v/>
      </c>
      <c r="D15" s="72">
        <f>RANK(D7, D7:D9)</f>
        <v/>
      </c>
      <c r="E15" s="72">
        <f>RANK(E7, E7:E9)</f>
        <v/>
      </c>
      <c r="F15" s="72">
        <f>RANK(F7, F7:F9)</f>
        <v/>
      </c>
      <c r="G15" s="72">
        <f>RANK(G7, G7:G9)</f>
        <v/>
      </c>
      <c r="H15" s="72">
        <f>RANK(H7, H7:H9)</f>
        <v/>
      </c>
      <c r="I15" s="72">
        <f>RANK(I7, I7:I9)</f>
        <v/>
      </c>
      <c r="J15" s="72">
        <f>RANK(J7, J7:J9)</f>
        <v/>
      </c>
      <c r="K15" s="72">
        <f>RANK(K7, K7:K9)</f>
        <v/>
      </c>
      <c r="L15" s="72">
        <f>RANK(L7, L7:L9)</f>
        <v/>
      </c>
      <c r="M15" s="72">
        <f>RANK(M7, M7:M9)</f>
        <v/>
      </c>
      <c r="N15" s="72">
        <f>RANK(N7, N7:N9)</f>
        <v/>
      </c>
      <c r="O15" s="72">
        <f>RANK(O7, O7:O9)</f>
        <v/>
      </c>
      <c r="P15" s="72">
        <f>RANK(P7, P7:P9)</f>
        <v/>
      </c>
      <c r="Q15" s="72">
        <f>RANK(Q7, Q7:Q9)</f>
        <v/>
      </c>
      <c r="R15" s="72">
        <f>RANK(R7, R7:R9, 1)</f>
        <v/>
      </c>
      <c r="S15" s="72">
        <f>RANK(S7, S7:S9)</f>
        <v/>
      </c>
      <c r="T15" s="72">
        <f>RANK(T7, T7:T9)</f>
        <v/>
      </c>
    </row>
    <row r="16" ht="10" customHeight="1"/>
    <row r="17" ht="10" customHeight="1"/>
    <row r="18" ht="22" customHeight="1">
      <c r="A18" s="18" t="inlineStr">
        <is>
          <t>CONEXIÓN AUDITABLE CON EL MOHANRAM G-SCORE</t>
        </is>
      </c>
      <c r="B18" s="19" t="n"/>
      <c r="C18" s="19" t="n"/>
      <c r="D18" s="19" t="n"/>
      <c r="E18" s="19" t="n"/>
      <c r="F18" s="19" t="n"/>
      <c r="G18" s="19" t="n"/>
      <c r="H18" s="19" t="n"/>
    </row>
    <row r="19" ht="40" customHeight="1">
      <c r="A19" s="42" t="inlineStr">
        <is>
          <t xml:space="preserve">   • Criterio G1 (ROA vs Mediana)</t>
        </is>
      </c>
      <c r="B19" s="57" t="inlineStr">
        <is>
          <t>La Utilidad Neta sobre Activos de MELI supera la Mediana del Sector (calculada en la fila superior) -&gt; [PASA: 1 PTO]</t>
        </is>
      </c>
      <c r="C19" s="31" t="n"/>
      <c r="D19" s="31" t="n"/>
      <c r="E19" s="31" t="n"/>
      <c r="F19" s="31" t="n"/>
      <c r="G19" s="31" t="n"/>
      <c r="H19" s="31" t="n"/>
    </row>
    <row r="20" ht="40" customHeight="1">
      <c r="A20" s="42" t="inlineStr">
        <is>
          <t xml:space="preserve">   • Criterio G2 (CFROA vs Mediana)</t>
        </is>
      </c>
      <c r="B20" s="57" t="inlineStr">
        <is>
          <t>El Flujo de Caja Operativo sobre Activos de MELI supera la Mediana del Sector (calculada en la fila superior) -&gt; [PASA: 1 PTO]</t>
        </is>
      </c>
      <c r="C20" s="31" t="n"/>
      <c r="D20" s="31" t="n"/>
      <c r="E20" s="31" t="n"/>
      <c r="F20" s="31" t="n"/>
      <c r="G20" s="31" t="n"/>
      <c r="H20" s="31" t="n"/>
    </row>
    <row r="21" ht="40" customHeight="1">
      <c r="A21" s="42" t="inlineStr">
        <is>
          <t xml:space="preserve">   • Criterio G4 (Estabilidad / P75)</t>
        </is>
      </c>
      <c r="B21" s="57" t="inlineStr">
        <is>
          <t>Si el ROA de MELI supera el Percentil 75 Superior, aprueba de inmediato bajo la Cláusula Líder Institucional -&gt; [PASA: 1 PTO]</t>
        </is>
      </c>
      <c r="C21" s="31" t="n"/>
      <c r="D21" s="31" t="n"/>
      <c r="E21" s="31" t="n"/>
      <c r="F21" s="31" t="n"/>
      <c r="G21" s="31" t="n"/>
      <c r="H21" s="31" t="n"/>
    </row>
    <row r="22" ht="40" customHeight="1">
      <c r="A22" s="42" t="inlineStr">
        <is>
          <t xml:space="preserve">   • Criterio G6 (Intensidad en I+D)</t>
        </is>
      </c>
      <c r="B22" s="57" t="inlineStr">
        <is>
          <t>El gasto en I+D como porcentaje de los activos instalados supera a la Mediana de competidores del sector -&gt; [PASA: 1 PTO]</t>
        </is>
      </c>
      <c r="C22" s="31" t="n"/>
      <c r="D22" s="31" t="n"/>
      <c r="E22" s="31" t="n"/>
      <c r="F22" s="31" t="n"/>
      <c r="G22" s="31" t="n"/>
      <c r="H22" s="31" t="n"/>
    </row>
    <row r="23" ht="40" customHeight="1">
      <c r="A23" s="42" t="inlineStr">
        <is>
          <t xml:space="preserve">   • Criterio G7 (Reinversión Total)</t>
        </is>
      </c>
      <c r="B23" s="57" t="inlineStr">
        <is>
          <t>La Tasa de Inversión Total (CapEx + I+D) sobre Activos para modelos Asset-Light supera el umbral sectorial -&gt; [PASA: 1 PTO]</t>
        </is>
      </c>
      <c r="C23" s="31" t="n"/>
      <c r="D23" s="31" t="n"/>
      <c r="E23" s="31" t="n"/>
      <c r="F23" s="31" t="n"/>
      <c r="G23" s="31" t="n"/>
      <c r="H23" s="31" t="n"/>
    </row>
  </sheetData>
  <mergeCells count="5">
    <mergeCell ref="B22:H22"/>
    <mergeCell ref="B21:H21"/>
    <mergeCell ref="B19:H19"/>
    <mergeCell ref="B20:H20"/>
    <mergeCell ref="B23:H23"/>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5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MERCADOLIBRE INC (MELI) - Auditoría Forense Contable &amp; Calidad de Beneficios</t>
        </is>
      </c>
    </row>
    <row r="2" ht="18" customHeight="1">
      <c r="A2" s="2" t="inlineStr">
        <is>
          <t>Detección de Manipulación Contable: Ratio de Devengos Sloan, Divergencias de Alerta Temprana y Montier C-Score (0-6)</t>
        </is>
      </c>
    </row>
    <row r="3" ht="8" customHeight="1"/>
    <row r="4" ht="22" customHeight="1">
      <c r="A4" s="18" t="inlineStr">
        <is>
          <t>DICTAMEN FORENSE GENERAL</t>
        </is>
      </c>
      <c r="B4" s="29" t="inlineStr">
        <is>
          <t>Período: LTM</t>
        </is>
      </c>
      <c r="C4" s="29" t="inlineStr">
        <is>
          <t>Sloan: -25.62% [EXCELENTE]</t>
        </is>
      </c>
      <c r="D4" s="29" t="inlineStr">
        <is>
          <t>Montier C-Score: 3/6 [ZONA DE VIGILANCIA CONTABLE]</t>
        </is>
      </c>
      <c r="E4" s="29" t="inlineStr">
        <is>
          <t>Estado Global: ZONA DE VIGILANCIA</t>
        </is>
      </c>
      <c r="F4" s="19" t="n"/>
      <c r="G4" s="19" t="n"/>
      <c r="H4" s="19" t="n"/>
      <c r="I4" s="19" t="n"/>
      <c r="J4" s="19" t="n"/>
      <c r="K4" s="19" t="n"/>
      <c r="L4" s="19" t="n"/>
      <c r="M4" s="19" t="n"/>
      <c r="N4" s="19" t="n"/>
    </row>
    <row r="5" ht="56" customHeight="1">
      <c r="A5" s="32" t="inlineStr">
        <is>
          <t>VEREDICTO FORENSE:</t>
        </is>
      </c>
      <c r="B5" s="34" t="inlineStr">
        <is>
          <t>ZONA DE VIGILANCIA POR DESFASES OPERATIVOS: Montier C-Score de 3/6 con divergencias puntuales en capital de trabajo. Revisar ciclos estacionales de inventarios y condiciones comerciales de cobro.</t>
        </is>
      </c>
    </row>
    <row r="6" ht="10" customHeight="1"/>
    <row r="7" ht="22" customHeight="1">
      <c r="A7" s="18" t="inlineStr">
        <is>
          <t>TABLA 1: RATIO DE DEVENGOS DE SLOAN (SLOAN ACCRUAL ANOMALY - RICHARD SLOAN 1996)</t>
        </is>
      </c>
      <c r="B7" s="19" t="n"/>
      <c r="C7" s="19" t="n"/>
      <c r="D7" s="19" t="n"/>
      <c r="E7" s="19" t="n"/>
      <c r="F7" s="19" t="n"/>
      <c r="G7" s="19" t="n"/>
      <c r="H7" s="19" t="n"/>
      <c r="I7" s="19" t="n"/>
      <c r="J7" s="19" t="n"/>
      <c r="K7" s="19" t="n"/>
      <c r="L7" s="19" t="n"/>
      <c r="M7" s="19" t="n"/>
      <c r="N7" s="19" t="n"/>
    </row>
    <row r="8" ht="25" customHeight="1">
      <c r="A8" s="3" t="inlineStr">
        <is>
          <t>Componente Contable / Métrica Sloan</t>
        </is>
      </c>
      <c r="B8" s="5" t="inlineStr">
        <is>
          <t>Definición / Fórmula Contable</t>
        </is>
      </c>
      <c r="C8" s="5" t="inlineStr">
        <is>
          <t>Zona Óptima / Umbral</t>
        </is>
      </c>
      <c r="D8" s="4" t="inlineStr">
        <is>
          <t>LTM</t>
        </is>
      </c>
      <c r="E8" s="5" t="inlineStr">
        <is>
          <t>FY2025</t>
        </is>
      </c>
      <c r="F8" s="5" t="inlineStr">
        <is>
          <t>FY2024</t>
        </is>
      </c>
      <c r="G8" s="5" t="inlineStr">
        <is>
          <t>FY2023</t>
        </is>
      </c>
      <c r="H8" s="5" t="inlineStr">
        <is>
          <t>FY2022</t>
        </is>
      </c>
      <c r="I8" s="5" t="inlineStr">
        <is>
          <t>FY2021</t>
        </is>
      </c>
      <c r="J8" s="5" t="inlineStr">
        <is>
          <t>FY2020</t>
        </is>
      </c>
      <c r="K8" s="5" t="inlineStr">
        <is>
          <t>FY2019</t>
        </is>
      </c>
      <c r="L8" s="5" t="inlineStr">
        <is>
          <t>FY2018</t>
        </is>
      </c>
      <c r="M8" s="5" t="inlineStr">
        <is>
          <t>FY2017</t>
        </is>
      </c>
      <c r="N8" s="5" t="inlineStr">
        <is>
          <t>FY2016</t>
        </is>
      </c>
    </row>
    <row r="9" ht="18.5" customHeight="1">
      <c r="A9" s="6" t="inlineStr">
        <is>
          <t>(+) Utilidad Neta ($M) [Income Statement]</t>
        </is>
      </c>
      <c r="B9" s="35" t="inlineStr">
        <is>
          <t>Beneficio Neto Auditado SEC</t>
        </is>
      </c>
      <c r="C9" s="73" t="inlineStr">
        <is>
          <t>Base Devengada</t>
        </is>
      </c>
      <c r="D9" s="74" t="n">
        <v>1863</v>
      </c>
      <c r="E9" s="74" t="n">
        <v>1997</v>
      </c>
      <c r="F9" s="74" t="n">
        <v>1911</v>
      </c>
      <c r="G9" s="74" t="n">
        <v>987</v>
      </c>
      <c r="H9" s="74" t="n">
        <v>482</v>
      </c>
      <c r="I9" s="74" t="n">
        <v>83.304</v>
      </c>
      <c r="J9" s="74" t="n">
        <v>-0.707</v>
      </c>
      <c r="K9" s="74" t="n">
        <v>-171.999</v>
      </c>
      <c r="L9" s="74" t="n">
        <v>-2.337</v>
      </c>
      <c r="M9" s="74" t="n">
        <v>-67.72</v>
      </c>
      <c r="N9" s="74" t="n">
        <v>136.366</v>
      </c>
    </row>
    <row r="10" ht="18.5" customHeight="1">
      <c r="A10" s="6" t="inlineStr">
        <is>
          <t>(-) Flujo de Caja Operativo CFO ($M) [Cash Flow]</t>
        </is>
      </c>
      <c r="B10" s="35" t="inlineStr">
        <is>
          <t>Efectivo Generado por Operaciones</t>
        </is>
      </c>
      <c r="C10" s="73" t="inlineStr">
        <is>
          <t>Base Efectivo</t>
        </is>
      </c>
      <c r="D10" s="74" t="n">
        <v>13905</v>
      </c>
      <c r="E10" s="74" t="n">
        <v>12116</v>
      </c>
      <c r="F10" s="74" t="n">
        <v>7918</v>
      </c>
      <c r="G10" s="74" t="n">
        <v>5140</v>
      </c>
      <c r="H10" s="74" t="n">
        <v>2940</v>
      </c>
      <c r="I10" s="74" t="n">
        <v>965.043</v>
      </c>
      <c r="J10" s="74" t="n">
        <v>1182.552</v>
      </c>
      <c r="K10" s="74" t="n">
        <v>451.091</v>
      </c>
      <c r="L10" s="74" t="n">
        <v>230.907</v>
      </c>
      <c r="M10" s="74" t="n">
        <v>269.01</v>
      </c>
      <c r="N10" s="74" t="n">
        <v>190.259</v>
      </c>
    </row>
    <row r="11" ht="18.5" customHeight="1">
      <c r="A11" s="42" t="inlineStr">
        <is>
          <t>(=) Devengos Contables Totales ($M)</t>
        </is>
      </c>
      <c r="B11" s="35" t="inlineStr">
        <is>
          <t>Utilidad Neta - Flujo de Caja Operativo (CFO)</t>
        </is>
      </c>
      <c r="C11" s="73" t="inlineStr">
        <is>
          <t>CFO &gt; NI (Deseable)</t>
        </is>
      </c>
      <c r="D11" s="75" t="n">
        <v>-12042</v>
      </c>
      <c r="E11" s="75" t="n">
        <v>-10119</v>
      </c>
      <c r="F11" s="75" t="n">
        <v>-6007</v>
      </c>
      <c r="G11" s="75" t="n">
        <v>-4153</v>
      </c>
      <c r="H11" s="75" t="n">
        <v>-2458</v>
      </c>
      <c r="I11" s="75" t="n">
        <v>-881.739</v>
      </c>
      <c r="J11" s="75" t="n">
        <v>-1183.259</v>
      </c>
      <c r="K11" s="75" t="n">
        <v>-623.09</v>
      </c>
      <c r="L11" s="75" t="n">
        <v>-233.244</v>
      </c>
      <c r="M11" s="75" t="n">
        <v>-336.73</v>
      </c>
      <c r="N11" s="75" t="n">
        <v>-53.893</v>
      </c>
    </row>
    <row r="12" ht="18.5" customHeight="1">
      <c r="A12" s="6" t="inlineStr">
        <is>
          <t>Activos Totales al Cierre ($M) [Balance Sheet]</t>
        </is>
      </c>
      <c r="B12" s="35" t="inlineStr">
        <is>
          <t>Activos Totales Reportados al Cierre</t>
        </is>
      </c>
      <c r="C12" s="73" t="inlineStr">
        <is>
          <t>Referencia Balance</t>
        </is>
      </c>
      <c r="D12" s="74" t="n">
        <v>51356</v>
      </c>
      <c r="E12" s="74" t="n">
        <v>42667</v>
      </c>
      <c r="F12" s="74" t="n">
        <v>25196</v>
      </c>
      <c r="G12" s="74" t="n">
        <v>17646</v>
      </c>
      <c r="H12" s="74" t="n">
        <v>13736</v>
      </c>
      <c r="I12" s="74" t="n">
        <v>10101.158</v>
      </c>
      <c r="J12" s="74" t="n">
        <v>6526.332</v>
      </c>
      <c r="K12" s="74" t="n">
        <v>4781.691</v>
      </c>
      <c r="L12" s="74" t="n">
        <v>2239.519</v>
      </c>
      <c r="M12" s="74" t="n">
        <v>1673.187</v>
      </c>
      <c r="N12" s="74" t="n">
        <v>1367.435</v>
      </c>
    </row>
    <row r="13" ht="18.5" customHeight="1">
      <c r="A13" s="6" t="inlineStr">
        <is>
          <t>Activos Totales Promedio ($M) [Denominador Sloan]</t>
        </is>
      </c>
      <c r="B13" s="35" t="inlineStr">
        <is>
          <t>(Activos_t + Activos_t-1) / 2</t>
        </is>
      </c>
      <c r="C13" s="73" t="inlineStr">
        <is>
          <t>Base de Activos</t>
        </is>
      </c>
      <c r="D13" s="74" t="n">
        <v>47011.5</v>
      </c>
      <c r="E13" s="74" t="n">
        <v>33931.5</v>
      </c>
      <c r="F13" s="74" t="n">
        <v>21421</v>
      </c>
      <c r="G13" s="74" t="n">
        <v>15691</v>
      </c>
      <c r="H13" s="74" t="n">
        <v>11918.579</v>
      </c>
      <c r="I13" s="74" t="n">
        <v>8313.745000000001</v>
      </c>
      <c r="J13" s="74" t="n">
        <v>5654.0115</v>
      </c>
      <c r="K13" s="74" t="n">
        <v>3510.605</v>
      </c>
      <c r="L13" s="74" t="n">
        <v>1956.353</v>
      </c>
      <c r="M13" s="74" t="n">
        <v>1520.311</v>
      </c>
      <c r="N13" s="74" t="n">
        <v>1367.435</v>
      </c>
    </row>
    <row r="14" ht="18.5" customHeight="1">
      <c r="A14" s="42" t="inlineStr">
        <is>
          <t>(=) Ratio de Devengos de Sloan (%)</t>
        </is>
      </c>
      <c r="B14" s="35" t="inlineStr">
        <is>
          <t>(Utilidad Neta - CFO) / Activos Promedio</t>
        </is>
      </c>
      <c r="C14" s="73" t="inlineStr">
        <is>
          <t>Óptimo: &lt; -3% | Alerta: &gt; +10%</t>
        </is>
      </c>
      <c r="D14" s="76" t="n">
        <v>-0.2562</v>
      </c>
      <c r="E14" s="76" t="n">
        <v>-0.2982</v>
      </c>
      <c r="F14" s="76" t="n">
        <v>-0.2804</v>
      </c>
      <c r="G14" s="76" t="n">
        <v>-0.2647</v>
      </c>
      <c r="H14" s="76" t="n">
        <v>-0.2062</v>
      </c>
      <c r="I14" s="76" t="n">
        <v>-0.1061</v>
      </c>
      <c r="J14" s="76" t="n">
        <v>-0.2093</v>
      </c>
      <c r="K14" s="76" t="n">
        <v>-0.1775</v>
      </c>
      <c r="L14" s="76" t="n">
        <v>-0.1192</v>
      </c>
      <c r="M14" s="76" t="n">
        <v>-0.2215</v>
      </c>
      <c r="N14" s="76" t="n">
        <v>-0.0394</v>
      </c>
    </row>
    <row r="15" ht="18.5" customHeight="1">
      <c r="A15" s="6" t="inlineStr">
        <is>
          <t>Calidad de Beneficios &amp; Conversión de Caja</t>
        </is>
      </c>
      <c r="B15" s="35" t="inlineStr">
        <is>
          <t>Dictamen de Fidelidad Contable</t>
        </is>
      </c>
      <c r="C15" s="73" t="inlineStr">
        <is>
          <t>Alta Conversión / Saludable</t>
        </is>
      </c>
      <c r="D15" s="77" t="inlineStr">
        <is>
          <t>ALTA CONVERSIÓN DE CAJA (CFO &gt; NI)</t>
        </is>
      </c>
      <c r="E15" s="77" t="inlineStr">
        <is>
          <t>ALTA CONVERSIÓN DE CAJA (CFO &gt; NI)</t>
        </is>
      </c>
      <c r="F15" s="77" t="inlineStr">
        <is>
          <t>ALTA CONVERSIÓN DE CAJA (CFO &gt; NI)</t>
        </is>
      </c>
      <c r="G15" s="77" t="inlineStr">
        <is>
          <t>ALTA CONVERSIÓN DE CAJA (CFO &gt; NI)</t>
        </is>
      </c>
      <c r="H15" s="77" t="inlineStr">
        <is>
          <t>ALTA CONVERSIÓN DE CAJA (CFO &gt; NI)</t>
        </is>
      </c>
      <c r="I15" s="77" t="inlineStr">
        <is>
          <t>ALTA CONVERSIÓN DE CAJA (CFO &gt; NI)</t>
        </is>
      </c>
      <c r="J15" s="77" t="inlineStr">
        <is>
          <t>ALTA CONVERSIÓN DE CAJA (CFO &gt; NI)</t>
        </is>
      </c>
      <c r="K15" s="77" t="inlineStr">
        <is>
          <t>ALTA CONVERSIÓN DE CAJA (CFO &gt; NI)</t>
        </is>
      </c>
      <c r="L15" s="77" t="inlineStr">
        <is>
          <t>ALTA CONVERSIÓN DE CAJA (CFO &gt; NI)</t>
        </is>
      </c>
      <c r="M15" s="77" t="inlineStr">
        <is>
          <t>ALTA CONVERSIÓN DE CAJA (CFO &gt; NI)</t>
        </is>
      </c>
      <c r="N15" s="77" t="inlineStr">
        <is>
          <t>ALTA CONVERSIÓN DE CAJA (CFO &gt; NI)</t>
        </is>
      </c>
    </row>
    <row r="16" ht="18.5" customHeight="1">
      <c r="A16" s="42" t="inlineStr">
        <is>
          <t>Dictamen Forense de Devengos (Status)</t>
        </is>
      </c>
      <c r="B16" s="35" t="inlineStr">
        <is>
          <t>Interpretación de Riesgo Contable</t>
        </is>
      </c>
      <c r="C16" s="73" t="inlineStr">
        <is>
          <t>Bajo Riesgo de Manipulación</t>
        </is>
      </c>
      <c r="D16" s="77" t="inlineStr">
        <is>
          <t>EXCELENTE</t>
        </is>
      </c>
      <c r="E16" s="77" t="inlineStr">
        <is>
          <t>EXCELENTE</t>
        </is>
      </c>
      <c r="F16" s="77" t="inlineStr">
        <is>
          <t>EXCELENTE</t>
        </is>
      </c>
      <c r="G16" s="77" t="inlineStr">
        <is>
          <t>EXCELENTE</t>
        </is>
      </c>
      <c r="H16" s="77" t="inlineStr">
        <is>
          <t>EXCELENTE</t>
        </is>
      </c>
      <c r="I16" s="77" t="inlineStr">
        <is>
          <t>EXCELENTE</t>
        </is>
      </c>
      <c r="J16" s="77" t="inlineStr">
        <is>
          <t>EXCELENTE</t>
        </is>
      </c>
      <c r="K16" s="77" t="inlineStr">
        <is>
          <t>EXCELENTE</t>
        </is>
      </c>
      <c r="L16" s="77" t="inlineStr">
        <is>
          <t>EXCELENTE</t>
        </is>
      </c>
      <c r="M16" s="77" t="inlineStr">
        <is>
          <t>EXCELENTE</t>
        </is>
      </c>
      <c r="N16" s="77" t="inlineStr">
        <is>
          <t>EXCELENTE</t>
        </is>
      </c>
    </row>
    <row r="17" ht="56" customHeight="1">
      <c r="A17" s="78" t="inlineStr">
        <is>
          <t>Diagnóstico Forense Sloan (LTM): Conservadurismo contable sobresaliente. El flujo de caja operativo supera holgadamente a la utilidad neta, generando devengos negativos que blindan al accionista de inflaciones artificiales de beneficios.</t>
        </is>
      </c>
      <c r="B17" s="31" t="n"/>
      <c r="C17" s="31" t="n"/>
      <c r="D17" s="31" t="n"/>
      <c r="E17" s="31" t="n"/>
      <c r="F17" s="31" t="n"/>
      <c r="G17" s="31" t="n"/>
      <c r="H17" s="31" t="n"/>
      <c r="I17" s="31" t="n"/>
      <c r="J17" s="31" t="n"/>
      <c r="K17" s="31" t="n"/>
      <c r="L17" s="31" t="n"/>
      <c r="M17" s="31" t="n"/>
      <c r="N17" s="31" t="n"/>
    </row>
    <row r="18" ht="10" customHeight="1"/>
    <row r="19" ht="22" customHeight="1">
      <c r="A19" s="18" t="inlineStr">
        <is>
          <t>TABLA 2: MATRIZ DE DIVERGENCIAS DE ALERTA TEMPRANA (EARLY WARNING DIVERGENCE SPREADS)</t>
        </is>
      </c>
      <c r="B19" s="19" t="n"/>
      <c r="C19" s="19" t="n"/>
      <c r="D19" s="19" t="n"/>
      <c r="E19" s="19" t="n"/>
      <c r="F19" s="19" t="n"/>
      <c r="G19" s="19" t="n"/>
      <c r="H19" s="19" t="n"/>
      <c r="I19" s="19" t="n"/>
      <c r="J19" s="19" t="n"/>
      <c r="K19" s="19" t="n"/>
      <c r="L19" s="19" t="n"/>
      <c r="M19" s="19" t="n"/>
      <c r="N19" s="19" t="n"/>
    </row>
    <row r="20" ht="25" customHeight="1">
      <c r="A20" s="3" t="inlineStr">
        <is>
          <t>Métrica de Divergencia Contable</t>
        </is>
      </c>
      <c r="B20" s="5" t="inlineStr">
        <is>
          <t>Riesgo de Trampa Detectado</t>
        </is>
      </c>
      <c r="C20" s="5" t="inlineStr">
        <is>
          <t>Umbral de Alerta</t>
        </is>
      </c>
      <c r="D20" s="4" t="inlineStr">
        <is>
          <t>LTM</t>
        </is>
      </c>
      <c r="E20" s="5" t="inlineStr">
        <is>
          <t>FY2025</t>
        </is>
      </c>
      <c r="F20" s="5" t="inlineStr">
        <is>
          <t>FY2024</t>
        </is>
      </c>
      <c r="G20" s="5" t="inlineStr">
        <is>
          <t>FY2023</t>
        </is>
      </c>
      <c r="H20" s="5" t="inlineStr">
        <is>
          <t>FY2022</t>
        </is>
      </c>
      <c r="I20" s="5" t="inlineStr">
        <is>
          <t>FY2021</t>
        </is>
      </c>
      <c r="J20" s="5" t="inlineStr">
        <is>
          <t>FY2020</t>
        </is>
      </c>
      <c r="K20" s="5" t="inlineStr">
        <is>
          <t>FY2019</t>
        </is>
      </c>
      <c r="L20" s="5" t="inlineStr">
        <is>
          <t>FY2018</t>
        </is>
      </c>
      <c r="M20" s="5" t="inlineStr">
        <is>
          <t>FY2017</t>
        </is>
      </c>
      <c r="N20" s="5" t="inlineStr">
        <is>
          <t>FY2016</t>
        </is>
      </c>
    </row>
    <row r="21" ht="22" customHeight="1">
      <c r="A21" s="18" t="inlineStr">
        <is>
          <t>A. Divergencia Cuentas por Cobrar vs. Ventas (Alerta de Facturación Agresiva / Channel Stuffing)</t>
        </is>
      </c>
      <c r="B21" s="19" t="n"/>
      <c r="C21" s="19" t="n"/>
      <c r="D21" s="19" t="n"/>
      <c r="E21" s="19" t="n"/>
      <c r="F21" s="19" t="n"/>
      <c r="G21" s="19" t="n"/>
      <c r="H21" s="19" t="n"/>
      <c r="I21" s="19" t="n"/>
      <c r="J21" s="19" t="n"/>
      <c r="K21" s="19" t="n"/>
      <c r="L21" s="19" t="n"/>
      <c r="M21" s="19" t="n"/>
      <c r="N21" s="19" t="n"/>
    </row>
    <row r="22" ht="18.5" customHeight="1">
      <c r="A22" s="6" t="inlineStr">
        <is>
          <t>(+) Cuentas por Cobrar Netas ($M) [Accounts Receivable]</t>
        </is>
      </c>
      <c r="B22" s="35" t="inlineStr">
        <is>
          <t>Saldo de Clientes en Balance</t>
        </is>
      </c>
      <c r="C22" s="73" t="inlineStr">
        <is>
          <t>Auditoría Balance</t>
        </is>
      </c>
      <c r="D22" s="74" t="n">
        <v>418</v>
      </c>
      <c r="E22" s="74" t="n">
        <v>369</v>
      </c>
      <c r="F22" s="74" t="n">
        <v>255</v>
      </c>
      <c r="G22" s="74" t="n">
        <v>156</v>
      </c>
      <c r="H22" s="74" t="n">
        <v>130</v>
      </c>
      <c r="I22" s="74" t="n">
        <v>98.193</v>
      </c>
      <c r="J22" s="74" t="n">
        <v>49.691</v>
      </c>
      <c r="K22" s="74" t="n">
        <v>35.446</v>
      </c>
      <c r="L22" s="74" t="n">
        <v>35.153</v>
      </c>
      <c r="M22" s="74" t="n">
        <v>28.168</v>
      </c>
      <c r="N22" s="74" t="n">
        <v>25.435</v>
      </c>
    </row>
    <row r="23" ht="18.5" customHeight="1">
      <c r="A23" s="6" t="inlineStr">
        <is>
          <t>Crecimiento Interanual Cuentas por Cobrar (Δ AR %)</t>
        </is>
      </c>
      <c r="B23" s="35" t="inlineStr">
        <is>
          <t>(AR_t - AR_t-1) / AR_t-1</t>
        </is>
      </c>
      <c r="C23" s="73" t="inlineStr">
        <is>
          <t>Ritmo de Cartera</t>
        </is>
      </c>
      <c r="D23" s="79" t="n">
        <v>0.132791</v>
      </c>
      <c r="E23" s="79" t="n">
        <v>0.447059</v>
      </c>
      <c r="F23" s="79" t="n">
        <v>0.634615</v>
      </c>
      <c r="G23" s="79" t="n">
        <v>0.2</v>
      </c>
      <c r="H23" s="79" t="n">
        <v>0.323923</v>
      </c>
      <c r="I23" s="79" t="n">
        <v>0.9760720000000001</v>
      </c>
      <c r="J23" s="79" t="n">
        <v>0.401879</v>
      </c>
      <c r="K23" s="79" t="n">
        <v>0.008335</v>
      </c>
      <c r="L23" s="79" t="n">
        <v>0.247976</v>
      </c>
      <c r="M23" s="79" t="n">
        <v>0.10745</v>
      </c>
      <c r="N23" s="80" t="inlineStr">
        <is>
          <t>-</t>
        </is>
      </c>
    </row>
    <row r="24" ht="18.5" customHeight="1">
      <c r="A24" s="6" t="inlineStr">
        <is>
          <t>(+) Ingresos por Ventas ($M) [Revenue]</t>
        </is>
      </c>
      <c r="B24" s="35" t="inlineStr">
        <is>
          <t>Ventas Netas Reportadas</t>
        </is>
      </c>
      <c r="C24" s="73" t="inlineStr">
        <is>
          <t>Auditoría Resultados</t>
        </is>
      </c>
      <c r="D24" s="74" t="n">
        <v>35182</v>
      </c>
      <c r="E24" s="74" t="n">
        <v>28893</v>
      </c>
      <c r="F24" s="74" t="n">
        <v>20777</v>
      </c>
      <c r="G24" s="74" t="n">
        <v>14473</v>
      </c>
      <c r="H24" s="74" t="n">
        <v>10537</v>
      </c>
      <c r="I24" s="74" t="n">
        <v>7069.409</v>
      </c>
      <c r="J24" s="74" t="n">
        <v>3973.465</v>
      </c>
      <c r="K24" s="74" t="n">
        <v>2296.314</v>
      </c>
      <c r="L24" s="74" t="n">
        <v>1439.653</v>
      </c>
      <c r="M24" s="74" t="n">
        <v>1398.095</v>
      </c>
      <c r="N24" s="74" t="n">
        <v>844.396</v>
      </c>
    </row>
    <row r="25" ht="18.5" customHeight="1">
      <c r="A25" s="6" t="inlineStr">
        <is>
          <t>Crecimiento Interanual Ventas (Δ Ventas %)</t>
        </is>
      </c>
      <c r="B25" s="35" t="inlineStr">
        <is>
          <t>(Ventas_t - Ventas_t-1) / Ventas_t-1</t>
        </is>
      </c>
      <c r="C25" s="73" t="inlineStr">
        <is>
          <t>Ritmo Comercial</t>
        </is>
      </c>
      <c r="D25" s="79" t="n">
        <v>0.217665</v>
      </c>
      <c r="E25" s="79" t="n">
        <v>0.390624</v>
      </c>
      <c r="F25" s="79" t="n">
        <v>0.43557</v>
      </c>
      <c r="G25" s="79" t="n">
        <v>0.373541</v>
      </c>
      <c r="H25" s="79" t="n">
        <v>0.490506</v>
      </c>
      <c r="I25" s="79" t="n">
        <v>0.779155</v>
      </c>
      <c r="J25" s="79" t="n">
        <v>0.730367</v>
      </c>
      <c r="K25" s="79" t="n">
        <v>0.595047</v>
      </c>
      <c r="L25" s="79" t="n">
        <v>0.029725</v>
      </c>
      <c r="M25" s="79" t="n">
        <v>0.655734</v>
      </c>
      <c r="N25" s="80" t="inlineStr">
        <is>
          <t>-</t>
        </is>
      </c>
    </row>
    <row r="26" ht="18.5" customHeight="1">
      <c r="A26" s="42" t="inlineStr">
        <is>
          <t>(=) Spread Divergencia AR - Ventas (%)</t>
        </is>
      </c>
      <c r="B26" s="35" t="inlineStr">
        <is>
          <t>Δ AR % - Δ Ventas %</t>
        </is>
      </c>
      <c r="C26" s="73" t="inlineStr">
        <is>
          <t>Alerta si &gt; +10.0%</t>
        </is>
      </c>
      <c r="D26" s="81" t="n">
        <v>-0.084874</v>
      </c>
      <c r="E26" s="69" t="n">
        <v>0.056435</v>
      </c>
      <c r="F26" s="82" t="n">
        <v>0.199046</v>
      </c>
      <c r="G26" s="81" t="n">
        <v>-0.173541</v>
      </c>
      <c r="H26" s="81" t="n">
        <v>-0.166583</v>
      </c>
      <c r="I26" s="82" t="n">
        <v>0.196917</v>
      </c>
      <c r="J26" s="81" t="n">
        <v>-0.328488</v>
      </c>
      <c r="K26" s="81" t="n">
        <v>-0.586712</v>
      </c>
      <c r="L26" s="82" t="n">
        <v>0.218252</v>
      </c>
      <c r="M26" s="81" t="n">
        <v>-0.548283</v>
      </c>
      <c r="N26" s="80" t="inlineStr">
        <is>
          <t>-</t>
        </is>
      </c>
    </row>
    <row r="27" ht="18.5" customHeight="1">
      <c r="A27" s="6" t="inlineStr">
        <is>
          <t>Días de Cobro Pendientes (DSO - Días)</t>
        </is>
      </c>
      <c r="B27" s="35" t="inlineStr">
        <is>
          <t>(AR / Ventas) * 365</t>
        </is>
      </c>
      <c r="C27" s="73" t="inlineStr">
        <is>
          <t>Rotación de Cobros</t>
        </is>
      </c>
      <c r="D27" s="83" t="n">
        <v>4.3</v>
      </c>
      <c r="E27" s="83" t="n">
        <v>4.7</v>
      </c>
      <c r="F27" s="83" t="n">
        <v>4.5</v>
      </c>
      <c r="G27" s="83" t="n">
        <v>3.9</v>
      </c>
      <c r="H27" s="83" t="n">
        <v>4.5</v>
      </c>
      <c r="I27" s="83" t="n">
        <v>5.1</v>
      </c>
      <c r="J27" s="83" t="n">
        <v>4.6</v>
      </c>
      <c r="K27" s="83" t="n">
        <v>5.6</v>
      </c>
      <c r="L27" s="83" t="n">
        <v>8.9</v>
      </c>
      <c r="M27" s="83" t="n">
        <v>7.4</v>
      </c>
      <c r="N27" s="83" t="n">
        <v>11</v>
      </c>
    </row>
    <row r="28" ht="18.5" customHeight="1">
      <c r="A28" s="6" t="inlineStr">
        <is>
          <t>Variación en Días de Cobro (Δ DSO)</t>
        </is>
      </c>
      <c r="B28" s="35" t="inlineStr">
        <is>
          <t>DSO_t - DSO_t-1</t>
        </is>
      </c>
      <c r="C28" s="73" t="inlineStr">
        <is>
          <t>Alerta si &gt; +5.0d</t>
        </is>
      </c>
      <c r="D28" s="84" t="n">
        <v>-0.3</v>
      </c>
      <c r="E28" s="84" t="n">
        <v>0.2</v>
      </c>
      <c r="F28" s="84" t="n">
        <v>0.5</v>
      </c>
      <c r="G28" s="84" t="n">
        <v>-0.6</v>
      </c>
      <c r="H28" s="84" t="n">
        <v>-0.6</v>
      </c>
      <c r="I28" s="84" t="n">
        <v>0.5</v>
      </c>
      <c r="J28" s="84" t="n">
        <v>-1.1</v>
      </c>
      <c r="K28" s="84" t="n">
        <v>-3.3</v>
      </c>
      <c r="L28" s="84" t="n">
        <v>1.6</v>
      </c>
      <c r="M28" s="84" t="n">
        <v>-3.6</v>
      </c>
      <c r="N28" s="80" t="inlineStr">
        <is>
          <t>-</t>
        </is>
      </c>
    </row>
    <row r="29" ht="18.5" customHeight="1">
      <c r="A29" s="42" t="inlineStr">
        <is>
          <t>Dictamen de Cobranza &amp; Riesgo Comercial</t>
        </is>
      </c>
      <c r="B29" s="35" t="inlineStr">
        <is>
          <t>Diagnóstico de Agresividad</t>
        </is>
      </c>
      <c r="C29" s="73" t="inlineStr">
        <is>
          <t>Sin Señales / Alerta</t>
        </is>
      </c>
      <c r="D29" s="77" t="inlineStr">
        <is>
          <t>COBRANZA SANA</t>
        </is>
      </c>
      <c r="E29" s="77" t="inlineStr">
        <is>
          <t>COBRANZA SANA</t>
        </is>
      </c>
      <c r="F29" s="77" t="inlineStr">
        <is>
          <t>COBRANZA SANA</t>
        </is>
      </c>
      <c r="G29" s="77" t="inlineStr">
        <is>
          <t>COBRANZA SANA</t>
        </is>
      </c>
      <c r="H29" s="77" t="inlineStr">
        <is>
          <t>COBRANZA SANA</t>
        </is>
      </c>
      <c r="I29" s="77" t="inlineStr">
        <is>
          <t>COBRANZA SANA</t>
        </is>
      </c>
      <c r="J29" s="77" t="inlineStr">
        <is>
          <t>COBRANZA SANA</t>
        </is>
      </c>
      <c r="K29" s="77" t="inlineStr">
        <is>
          <t>COBRANZA SANA</t>
        </is>
      </c>
      <c r="L29" s="77" t="inlineStr">
        <is>
          <t>COBRANZA SANA</t>
        </is>
      </c>
      <c r="M29" s="77" t="inlineStr">
        <is>
          <t>COBRANZA SANA</t>
        </is>
      </c>
      <c r="N29" s="77" t="inlineStr">
        <is>
          <t>COBRANZA SANA</t>
        </is>
      </c>
    </row>
    <row r="30" ht="10" customHeight="1"/>
    <row r="31" ht="22" customHeight="1">
      <c r="A31" s="18" t="inlineStr">
        <is>
          <t>B. Divergencia Inventarios vs. Coste de Ventas (Alerta de Existencias No Vendidas / Absorción de Costes)</t>
        </is>
      </c>
      <c r="B31" s="19" t="n"/>
      <c r="C31" s="19" t="n"/>
      <c r="D31" s="19" t="n"/>
      <c r="E31" s="19" t="n"/>
      <c r="F31" s="19" t="n"/>
      <c r="G31" s="19" t="n"/>
      <c r="H31" s="19" t="n"/>
      <c r="I31" s="19" t="n"/>
      <c r="J31" s="19" t="n"/>
      <c r="K31" s="19" t="n"/>
      <c r="L31" s="19" t="n"/>
      <c r="M31" s="19" t="n"/>
      <c r="N31" s="19" t="n"/>
    </row>
    <row r="32" ht="18.5" customHeight="1">
      <c r="A32" s="6" t="inlineStr">
        <is>
          <t>(+) Inventarios Netos ($M) [Inventory]</t>
        </is>
      </c>
      <c r="B32" s="35" t="inlineStr">
        <is>
          <t>Existencias Totales en Balance</t>
        </is>
      </c>
      <c r="C32" s="73" t="inlineStr">
        <is>
          <t>Auditoría Balance</t>
        </is>
      </c>
      <c r="D32" s="74" t="n">
        <v>822</v>
      </c>
      <c r="E32" s="74" t="n">
        <v>570</v>
      </c>
      <c r="F32" s="74" t="n">
        <v>296</v>
      </c>
      <c r="G32" s="74" t="n">
        <v>238</v>
      </c>
      <c r="H32" s="74" t="n">
        <v>152</v>
      </c>
      <c r="I32" s="74" t="n">
        <v>253.077</v>
      </c>
      <c r="J32" s="74" t="n">
        <v>118.14</v>
      </c>
      <c r="K32" s="74" t="n">
        <v>8.625999999999999</v>
      </c>
      <c r="L32" s="74" t="n">
        <v>4.612</v>
      </c>
      <c r="M32" s="74" t="n">
        <v>2.549</v>
      </c>
      <c r="N32" s="74" t="n">
        <v>1.103</v>
      </c>
    </row>
    <row r="33" ht="18.5" customHeight="1">
      <c r="A33" s="6" t="inlineStr">
        <is>
          <t>Crecimiento Interanual Inventarios (Δ Inv %)</t>
        </is>
      </c>
      <c r="B33" s="35" t="inlineStr">
        <is>
          <t>(Inv_t - Inv_t-1) / Inv_t-1</t>
        </is>
      </c>
      <c r="C33" s="73" t="inlineStr">
        <is>
          <t>Ritmo de Stock</t>
        </is>
      </c>
      <c r="D33" s="79" t="n">
        <v>0.442105</v>
      </c>
      <c r="E33" s="79" t="n">
        <v>0.9256760000000001</v>
      </c>
      <c r="F33" s="79" t="n">
        <v>0.243697</v>
      </c>
      <c r="G33" s="79" t="n">
        <v>0.565789</v>
      </c>
      <c r="H33" s="79" t="n">
        <v>-0.399392</v>
      </c>
      <c r="I33" s="79" t="n">
        <v>1.142179</v>
      </c>
      <c r="J33" s="79" t="n">
        <v>12.695803</v>
      </c>
      <c r="K33" s="79" t="n">
        <v>0.8703379999999999</v>
      </c>
      <c r="L33" s="79" t="n">
        <v>0.809337</v>
      </c>
      <c r="M33" s="79" t="n">
        <v>1.31097</v>
      </c>
      <c r="N33" s="80" t="inlineStr">
        <is>
          <t>-</t>
        </is>
      </c>
    </row>
    <row r="34" ht="18.5" customHeight="1">
      <c r="A34" s="6" t="inlineStr">
        <is>
          <t>(+) Coste de Bienes Vendidos COGS ($M)</t>
        </is>
      </c>
      <c r="B34" s="35" t="inlineStr">
        <is>
          <t>Coste de Ventas Reportado</t>
        </is>
      </c>
      <c r="C34" s="73" t="inlineStr">
        <is>
          <t>Auditoría Resultados</t>
        </is>
      </c>
      <c r="D34" s="74" t="n">
        <v>11902</v>
      </c>
      <c r="E34" s="74" t="n">
        <v>16035</v>
      </c>
      <c r="F34" s="74" t="n">
        <v>11200</v>
      </c>
      <c r="G34" s="74" t="n">
        <v>7267</v>
      </c>
      <c r="H34" s="74" t="n">
        <v>5374</v>
      </c>
      <c r="I34" s="74" t="n">
        <v>4064.357</v>
      </c>
      <c r="J34" s="74" t="n">
        <v>2264.255</v>
      </c>
      <c r="K34" s="74" t="n">
        <v>1194.191</v>
      </c>
      <c r="L34" s="74" t="n">
        <v>424.838</v>
      </c>
      <c r="M34" s="74" t="n">
        <v>678.495</v>
      </c>
      <c r="N34" s="74" t="n">
        <v>307.538</v>
      </c>
    </row>
    <row r="35" ht="18.5" customHeight="1">
      <c r="A35" s="6" t="inlineStr">
        <is>
          <t>Crecimiento Interanual COGS (Δ COGS %)</t>
        </is>
      </c>
      <c r="B35" s="35" t="inlineStr">
        <is>
          <t>(COGS_t - COGS_t-1) / COGS_t-1</t>
        </is>
      </c>
      <c r="C35" s="73" t="inlineStr">
        <is>
          <t>Ritmo de Coste</t>
        </is>
      </c>
      <c r="D35" s="79" t="n">
        <v>-0.257749</v>
      </c>
      <c r="E35" s="79" t="n">
        <v>0.431696</v>
      </c>
      <c r="F35" s="79" t="n">
        <v>0.541214</v>
      </c>
      <c r="G35" s="79" t="n">
        <v>0.352252</v>
      </c>
      <c r="H35" s="79" t="n">
        <v>0.322226</v>
      </c>
      <c r="I35" s="79" t="n">
        <v>0.795009</v>
      </c>
      <c r="J35" s="79" t="n">
        <v>0.896058</v>
      </c>
      <c r="K35" s="79" t="n">
        <v>1.810933</v>
      </c>
      <c r="L35" s="79" t="n">
        <v>-0.373852</v>
      </c>
      <c r="M35" s="79" t="n">
        <v>1.206215</v>
      </c>
      <c r="N35" s="80" t="inlineStr">
        <is>
          <t>-</t>
        </is>
      </c>
    </row>
    <row r="36" ht="18.5" customHeight="1">
      <c r="A36" s="42" t="inlineStr">
        <is>
          <t>(=) Spread Divergencia Inventarios - COGS (%)</t>
        </is>
      </c>
      <c r="B36" s="35" t="inlineStr">
        <is>
          <t>Δ Inv % - Δ COGS %</t>
        </is>
      </c>
      <c r="C36" s="73" t="inlineStr">
        <is>
          <t>Alerta si &gt; +15.0%</t>
        </is>
      </c>
      <c r="D36" s="69" t="n">
        <v>0.699854</v>
      </c>
      <c r="E36" s="69" t="n">
        <v>0.493979</v>
      </c>
      <c r="F36" s="81" t="n">
        <v>-0.297516</v>
      </c>
      <c r="G36" s="69" t="n">
        <v>0.213538</v>
      </c>
      <c r="H36" s="81" t="n">
        <v>-0.721619</v>
      </c>
      <c r="I36" s="69" t="n">
        <v>0.34717</v>
      </c>
      <c r="J36" s="69" t="n">
        <v>11.799746</v>
      </c>
      <c r="K36" s="81" t="n">
        <v>-0.940594</v>
      </c>
      <c r="L36" s="69" t="n">
        <v>1.183189</v>
      </c>
      <c r="M36" s="81" t="n">
        <v>0.104755</v>
      </c>
      <c r="N36" s="80" t="inlineStr">
        <is>
          <t>-</t>
        </is>
      </c>
    </row>
    <row r="37" ht="18.5" customHeight="1">
      <c r="A37" s="6" t="inlineStr">
        <is>
          <t>Días de Inventario en Balance (DIO - Días)</t>
        </is>
      </c>
      <c r="B37" s="35" t="inlineStr">
        <is>
          <t>(Inventario / COGS) * 365</t>
        </is>
      </c>
      <c r="C37" s="73" t="inlineStr">
        <is>
          <t>Rotación de Existencias</t>
        </is>
      </c>
      <c r="D37" s="83" t="n">
        <v>25.2</v>
      </c>
      <c r="E37" s="83" t="n">
        <v>13</v>
      </c>
      <c r="F37" s="83" t="n">
        <v>9.6</v>
      </c>
      <c r="G37" s="83" t="n">
        <v>12</v>
      </c>
      <c r="H37" s="83" t="n">
        <v>10.3</v>
      </c>
      <c r="I37" s="83" t="n">
        <v>22.7</v>
      </c>
      <c r="J37" s="83" t="n">
        <v>19</v>
      </c>
      <c r="K37" s="83" t="n">
        <v>2.6</v>
      </c>
      <c r="L37" s="83" t="n">
        <v>4</v>
      </c>
      <c r="M37" s="83" t="n">
        <v>1.4</v>
      </c>
      <c r="N37" s="83" t="n">
        <v>1.3</v>
      </c>
    </row>
    <row r="38" ht="18.5" customHeight="1">
      <c r="A38" s="6" t="inlineStr">
        <is>
          <t>Variación en Días de Inventario (Δ DIO)</t>
        </is>
      </c>
      <c r="B38" s="35" t="inlineStr">
        <is>
          <t>DIO_t - DIO_t-1</t>
        </is>
      </c>
      <c r="C38" s="73" t="inlineStr">
        <is>
          <t>Alerta si &gt; +7.0d</t>
        </is>
      </c>
      <c r="D38" s="84" t="n">
        <v>12.2</v>
      </c>
      <c r="E38" s="84" t="n">
        <v>3.3</v>
      </c>
      <c r="F38" s="84" t="n">
        <v>-2.3</v>
      </c>
      <c r="G38" s="84" t="n">
        <v>1.6</v>
      </c>
      <c r="H38" s="84" t="n">
        <v>-12.4</v>
      </c>
      <c r="I38" s="84" t="n">
        <v>3.7</v>
      </c>
      <c r="J38" s="84" t="n">
        <v>16.4</v>
      </c>
      <c r="K38" s="84" t="n">
        <v>-1.3</v>
      </c>
      <c r="L38" s="84" t="n">
        <v>2.6</v>
      </c>
      <c r="M38" s="84" t="n">
        <v>0.1</v>
      </c>
      <c r="N38" s="80" t="inlineStr">
        <is>
          <t>-</t>
        </is>
      </c>
    </row>
    <row r="39" ht="18.5" customHeight="1">
      <c r="A39" s="42" t="inlineStr">
        <is>
          <t>Dictamen de Inventario &amp; Riesgo de Margen</t>
        </is>
      </c>
      <c r="B39" s="35" t="inlineStr">
        <is>
          <t>Diagnóstico de Stock / Absorción</t>
        </is>
      </c>
      <c r="C39" s="73" t="inlineStr">
        <is>
          <t>Controlado / Revisión</t>
        </is>
      </c>
      <c r="D39" s="65" t="inlineStr">
        <is>
          <t>REVISIÓN OPERATIVA</t>
        </is>
      </c>
      <c r="E39" s="77" t="inlineStr">
        <is>
          <t>INVENTARIO CONTROLADO</t>
        </is>
      </c>
      <c r="F39" s="77" t="inlineStr">
        <is>
          <t>INVENTARIO CONTROLADO</t>
        </is>
      </c>
      <c r="G39" s="77" t="inlineStr">
        <is>
          <t>INVENTARIO CONTROLADO</t>
        </is>
      </c>
      <c r="H39" s="77" t="inlineStr">
        <is>
          <t>INVENTARIO CONTROLADO</t>
        </is>
      </c>
      <c r="I39" s="77" t="inlineStr">
        <is>
          <t>INVENTARIO CONTROLADO</t>
        </is>
      </c>
      <c r="J39" s="65" t="inlineStr">
        <is>
          <t>REVISIÓN OPERATIVA</t>
        </is>
      </c>
      <c r="K39" s="77" t="inlineStr">
        <is>
          <t>INVENTARIO CONTROLADO</t>
        </is>
      </c>
      <c r="L39" s="77" t="inlineStr">
        <is>
          <t>INVENTARIO CONTROLADO</t>
        </is>
      </c>
      <c r="M39" s="77" t="inlineStr">
        <is>
          <t>INVENTARIO CONTROLADO</t>
        </is>
      </c>
      <c r="N39" s="77" t="inlineStr">
        <is>
          <t>INVENTARIO CONTROLADO</t>
        </is>
      </c>
    </row>
    <row r="40" ht="10" customHeight="1"/>
    <row r="41" ht="22" customHeight="1">
      <c r="A41" s="18" t="inlineStr">
        <is>
          <t>C. Índice de Activos Blandos (Soft Assets Ratio - Calidad Patrimonial y Capitalización de Costes)</t>
        </is>
      </c>
      <c r="B41" s="19" t="n"/>
      <c r="C41" s="19" t="n"/>
      <c r="D41" s="19" t="n"/>
      <c r="E41" s="19" t="n"/>
      <c r="F41" s="19" t="n"/>
      <c r="G41" s="19" t="n"/>
      <c r="H41" s="19" t="n"/>
      <c r="I41" s="19" t="n"/>
      <c r="J41" s="19" t="n"/>
      <c r="K41" s="19" t="n"/>
      <c r="L41" s="19" t="n"/>
      <c r="M41" s="19" t="n"/>
      <c r="N41" s="19" t="n"/>
    </row>
    <row r="42" ht="18.5" customHeight="1">
      <c r="A42" s="6" t="inlineStr">
        <is>
          <t>(+) Activos Totales en Balance ($M)</t>
        </is>
      </c>
      <c r="B42" s="35" t="inlineStr">
        <is>
          <t>Total Assets</t>
        </is>
      </c>
      <c r="C42" s="73" t="inlineStr">
        <is>
          <t>Auditoría Balance</t>
        </is>
      </c>
      <c r="D42" s="74" t="n">
        <v>51356</v>
      </c>
      <c r="E42" s="74" t="n">
        <v>42667</v>
      </c>
      <c r="F42" s="74" t="n">
        <v>25196</v>
      </c>
      <c r="G42" s="74" t="n">
        <v>17646</v>
      </c>
      <c r="H42" s="74" t="n">
        <v>13736</v>
      </c>
      <c r="I42" s="74" t="n">
        <v>10101.158</v>
      </c>
      <c r="J42" s="74" t="n">
        <v>6526.332</v>
      </c>
      <c r="K42" s="74" t="n">
        <v>4781.691</v>
      </c>
      <c r="L42" s="74" t="n">
        <v>2239.519</v>
      </c>
      <c r="M42" s="74" t="n">
        <v>1673.187</v>
      </c>
      <c r="N42" s="74" t="n">
        <v>1367.435</v>
      </c>
    </row>
    <row r="43" ht="18.5" customHeight="1">
      <c r="A43" s="6" t="inlineStr">
        <is>
          <t>(-) PP&amp;E Tangible Neto ($M)</t>
        </is>
      </c>
      <c r="B43" s="35" t="inlineStr">
        <is>
          <t>Property, Plant &amp; Equipment Net</t>
        </is>
      </c>
      <c r="C43" s="73" t="inlineStr">
        <is>
          <t>Activo Físico Duro</t>
        </is>
      </c>
      <c r="D43" s="74" t="n">
        <v>2303</v>
      </c>
      <c r="E43" s="74" t="n">
        <v>2303</v>
      </c>
      <c r="F43" s="74" t="n">
        <v>1380</v>
      </c>
      <c r="G43" s="74" t="n">
        <v>1250</v>
      </c>
      <c r="H43" s="74" t="n">
        <v>993</v>
      </c>
      <c r="I43" s="74" t="n">
        <v>807.367</v>
      </c>
      <c r="J43" s="74" t="n">
        <v>391.684</v>
      </c>
      <c r="K43" s="74" t="n">
        <v>244.257</v>
      </c>
      <c r="L43" s="74" t="n">
        <v>165.614</v>
      </c>
      <c r="M43" s="74" t="n">
        <v>114.837</v>
      </c>
      <c r="N43" s="74" t="n">
        <v>124.261</v>
      </c>
    </row>
    <row r="44" ht="18.5" customHeight="1">
      <c r="A44" s="6" t="inlineStr">
        <is>
          <t>(-) Tesorería y Equivalentes ($M)</t>
        </is>
      </c>
      <c r="B44" s="35" t="inlineStr">
        <is>
          <t>Cash &amp; Cash Equivalents</t>
        </is>
      </c>
      <c r="C44" s="73" t="inlineStr">
        <is>
          <t>Liquidez Inmediata</t>
        </is>
      </c>
      <c r="D44" s="74" t="n">
        <v>3649</v>
      </c>
      <c r="E44" s="74" t="n">
        <v>3670</v>
      </c>
      <c r="F44" s="74" t="n">
        <v>2635</v>
      </c>
      <c r="G44" s="74" t="n">
        <v>2556</v>
      </c>
      <c r="H44" s="74" t="n">
        <v>1910</v>
      </c>
      <c r="I44" s="74" t="n">
        <v>2584.586</v>
      </c>
      <c r="J44" s="74" t="n">
        <v>1856.394</v>
      </c>
      <c r="K44" s="74" t="n">
        <v>1384.74</v>
      </c>
      <c r="L44" s="74" t="n">
        <v>440.332</v>
      </c>
      <c r="M44" s="74" t="n">
        <v>388.26</v>
      </c>
      <c r="N44" s="74" t="n">
        <v>234.14</v>
      </c>
    </row>
    <row r="45" ht="18.5" customHeight="1">
      <c r="A45" s="42" t="inlineStr">
        <is>
          <t>(=) Activos Blandos / No Duros ($M)</t>
        </is>
      </c>
      <c r="B45" s="35" t="inlineStr">
        <is>
          <t>Total Assets - (PP&amp;E Neto + Caja)</t>
        </is>
      </c>
      <c r="C45" s="73" t="inlineStr">
        <is>
          <t>Intangibles y Diferidos</t>
        </is>
      </c>
      <c r="D45" s="74" t="n">
        <v>45404</v>
      </c>
      <c r="E45" s="74" t="n">
        <v>36694</v>
      </c>
      <c r="F45" s="74" t="n">
        <v>21181</v>
      </c>
      <c r="G45" s="74" t="n">
        <v>13840</v>
      </c>
      <c r="H45" s="74" t="n">
        <v>10833</v>
      </c>
      <c r="I45" s="74" t="n">
        <v>6709.205</v>
      </c>
      <c r="J45" s="74" t="n">
        <v>4278.254</v>
      </c>
      <c r="K45" s="74" t="n">
        <v>3152.694</v>
      </c>
      <c r="L45" s="74" t="n">
        <v>1633.573</v>
      </c>
      <c r="M45" s="74" t="n">
        <v>1170.09</v>
      </c>
      <c r="N45" s="74" t="n">
        <v>1009.034</v>
      </c>
    </row>
    <row r="46" ht="18.5" customHeight="1">
      <c r="A46" s="42" t="inlineStr">
        <is>
          <t>(=) Ratio de Activos Blandos (%)</t>
        </is>
      </c>
      <c r="B46" s="35" t="inlineStr">
        <is>
          <t>Activos Blandos / Activos Totales</t>
        </is>
      </c>
      <c r="C46" s="73" t="inlineStr">
        <is>
          <t>Normal: &lt; 70% | Alerta: &gt; 75%</t>
        </is>
      </c>
      <c r="D46" s="68" t="n">
        <v>0.884103</v>
      </c>
      <c r="E46" s="68" t="n">
        <v>0.860009</v>
      </c>
      <c r="F46" s="68" t="n">
        <v>0.840649</v>
      </c>
      <c r="G46" s="68" t="n">
        <v>0.784314</v>
      </c>
      <c r="H46" s="68" t="n">
        <v>0.788658</v>
      </c>
      <c r="I46" s="85" t="n">
        <v>0.664202</v>
      </c>
      <c r="J46" s="85" t="n">
        <v>0.655537</v>
      </c>
      <c r="K46" s="85" t="n">
        <v>0.659326</v>
      </c>
      <c r="L46" s="85" t="n">
        <v>0.72943</v>
      </c>
      <c r="M46" s="85" t="n">
        <v>0.699318</v>
      </c>
      <c r="N46" s="85" t="n">
        <v>0.737903</v>
      </c>
    </row>
    <row r="47" ht="18.5" customHeight="1">
      <c r="A47" s="6" t="inlineStr">
        <is>
          <t>Variación Interanual en Ratio (Δ p.p.)</t>
        </is>
      </c>
      <c r="B47" s="35" t="inlineStr">
        <is>
          <t>Ratio_t - Ratio_t-1</t>
        </is>
      </c>
      <c r="C47" s="73" t="inlineStr">
        <is>
          <t>Alerta si &gt; +3.0 p.p.</t>
        </is>
      </c>
      <c r="D47" s="79" t="n">
        <v>0.024094</v>
      </c>
      <c r="E47" s="79" t="n">
        <v>0.01936</v>
      </c>
      <c r="F47" s="69" t="n">
        <v>0.056336</v>
      </c>
      <c r="G47" s="79" t="n">
        <v>-0.004344</v>
      </c>
      <c r="H47" s="69" t="n">
        <v>0.124456</v>
      </c>
      <c r="I47" s="79" t="n">
        <v>0.008664</v>
      </c>
      <c r="J47" s="79" t="n">
        <v>-0.003789</v>
      </c>
      <c r="K47" s="79" t="n">
        <v>-0.070104</v>
      </c>
      <c r="L47" s="69" t="n">
        <v>0.030112</v>
      </c>
      <c r="M47" s="79" t="n">
        <v>-0.038585</v>
      </c>
      <c r="N47" s="80" t="inlineStr">
        <is>
          <t>-</t>
        </is>
      </c>
    </row>
    <row r="48" ht="18.5" customHeight="1">
      <c r="A48" s="42" t="inlineStr">
        <is>
          <t>Dictamen de Estructura Patrimonial</t>
        </is>
      </c>
      <c r="B48" s="35" t="inlineStr">
        <is>
          <t>Calidad de Respaldo Contable</t>
        </is>
      </c>
      <c r="C48" s="73" t="inlineStr">
        <is>
          <t>Estructura Sólida</t>
        </is>
      </c>
      <c r="D48" s="77" t="inlineStr">
        <is>
          <t>ESTRUCTURA NORMAL</t>
        </is>
      </c>
      <c r="E48" s="77" t="inlineStr">
        <is>
          <t>ESTRUCTURA NORMAL</t>
        </is>
      </c>
      <c r="F48" s="65" t="inlineStr">
        <is>
          <t>PESO ELEVADO</t>
        </is>
      </c>
      <c r="G48" s="77" t="inlineStr">
        <is>
          <t>ESTRUCTURA NORMAL</t>
        </is>
      </c>
      <c r="H48" s="65" t="inlineStr">
        <is>
          <t>PESO ELEVADO</t>
        </is>
      </c>
      <c r="I48" s="77" t="inlineStr">
        <is>
          <t>ESTRUCTURA NORMAL</t>
        </is>
      </c>
      <c r="J48" s="77" t="inlineStr">
        <is>
          <t>ESTRUCTURA NORMAL</t>
        </is>
      </c>
      <c r="K48" s="77" t="inlineStr">
        <is>
          <t>ESTRUCTURA NORMAL</t>
        </is>
      </c>
      <c r="L48" s="77" t="inlineStr">
        <is>
          <t>ESTRUCTURA NORMAL</t>
        </is>
      </c>
      <c r="M48" s="77" t="inlineStr">
        <is>
          <t>ESTRUCTURA NORMAL</t>
        </is>
      </c>
      <c r="N48" s="77" t="inlineStr">
        <is>
          <t>ESTRUCTURA NORMAL</t>
        </is>
      </c>
    </row>
    <row r="49" ht="10" customHeight="1"/>
    <row r="50" ht="22" customHeight="1">
      <c r="A50" s="18" t="inlineStr">
        <is>
          <t>TABLA 3: DESGLOSE FORENSE MONTIER C-SCORE (JAMES MONTIER 2008 - 'COOKING THE BOOKS')</t>
        </is>
      </c>
      <c r="B50" s="19" t="n"/>
      <c r="C50" s="19" t="n"/>
      <c r="D50" s="19" t="n"/>
      <c r="E50" s="19" t="n"/>
      <c r="F50" s="19" t="n"/>
      <c r="G50" s="19" t="n"/>
      <c r="H50" s="19" t="n"/>
      <c r="I50" s="19" t="n"/>
      <c r="J50" s="19" t="n"/>
      <c r="K50" s="19" t="n"/>
      <c r="L50" s="19" t="n"/>
      <c r="M50" s="19" t="n"/>
      <c r="N50" s="19" t="n"/>
    </row>
    <row r="51" ht="25" customHeight="1">
      <c r="A51" s="3" t="inlineStr">
        <is>
          <t>Bandera Forense de Manipulación (C-Score)</t>
        </is>
      </c>
      <c r="B51" s="5" t="inlineStr">
        <is>
          <t>Condición Contable Evaluada</t>
        </is>
      </c>
      <c r="C51" s="5" t="inlineStr">
        <is>
          <t>Justificación Teórica de la Trampa</t>
        </is>
      </c>
      <c r="D51" s="4" t="inlineStr">
        <is>
          <t>LTM</t>
        </is>
      </c>
      <c r="E51" s="5" t="inlineStr">
        <is>
          <t>FY2025</t>
        </is>
      </c>
      <c r="F51" s="5" t="inlineStr">
        <is>
          <t>FY2024</t>
        </is>
      </c>
      <c r="G51" s="5" t="inlineStr">
        <is>
          <t>FY2023</t>
        </is>
      </c>
      <c r="H51" s="5" t="inlineStr">
        <is>
          <t>FY2022</t>
        </is>
      </c>
      <c r="I51" s="5" t="inlineStr">
        <is>
          <t>FY2021</t>
        </is>
      </c>
      <c r="J51" s="5" t="inlineStr">
        <is>
          <t>FY2020</t>
        </is>
      </c>
      <c r="K51" s="5" t="inlineStr">
        <is>
          <t>FY2019</t>
        </is>
      </c>
      <c r="L51" s="5" t="inlineStr">
        <is>
          <t>FY2018</t>
        </is>
      </c>
      <c r="M51" s="5" t="inlineStr">
        <is>
          <t>FY2017</t>
        </is>
      </c>
      <c r="N51" s="5" t="inlineStr">
        <is>
          <t>FY2016</t>
        </is>
      </c>
    </row>
    <row r="52" ht="18.5" customHeight="1">
      <c r="A52" s="6" t="inlineStr">
        <is>
          <t>Bandera 1: Divergencia Beneficio vs. Caja</t>
        </is>
      </c>
      <c r="B52" s="35" t="inlineStr">
        <is>
          <t>Utilidad Neta &gt; Flujo de Caja Operativo (NI &gt; CFO)</t>
        </is>
      </c>
      <c r="C52" s="86" t="inlineStr">
        <is>
          <t>Beneficios no monetizados en caja</t>
        </is>
      </c>
      <c r="D52" s="77" t="inlineStr">
        <is>
          <t>✅ OK</t>
        </is>
      </c>
      <c r="E52" s="77" t="inlineStr">
        <is>
          <t>✅ OK</t>
        </is>
      </c>
      <c r="F52" s="77" t="inlineStr">
        <is>
          <t>✅ OK</t>
        </is>
      </c>
      <c r="G52" s="77" t="inlineStr">
        <is>
          <t>✅ OK</t>
        </is>
      </c>
      <c r="H52" s="77" t="inlineStr">
        <is>
          <t>✅ OK</t>
        </is>
      </c>
      <c r="I52" s="77" t="inlineStr">
        <is>
          <t>✅ OK</t>
        </is>
      </c>
      <c r="J52" s="77" t="inlineStr">
        <is>
          <t>✅ OK</t>
        </is>
      </c>
      <c r="K52" s="77" t="inlineStr">
        <is>
          <t>✅ OK</t>
        </is>
      </c>
      <c r="L52" s="77" t="inlineStr">
        <is>
          <t>✅ OK</t>
        </is>
      </c>
      <c r="M52" s="77" t="inlineStr">
        <is>
          <t>✅ OK</t>
        </is>
      </c>
      <c r="N52" s="56" t="inlineStr">
        <is>
          <t>-</t>
        </is>
      </c>
    </row>
    <row r="53" ht="18.5" customHeight="1">
      <c r="A53" s="6" t="inlineStr">
        <is>
          <t>Bandera 2: Cuentas por Cobrar &gt; Ventas</t>
        </is>
      </c>
      <c r="B53" s="35" t="inlineStr">
        <is>
          <t>Δ Cuentas por Cobrar % &gt; Δ Ventas %</t>
        </is>
      </c>
      <c r="C53" s="86" t="inlineStr">
        <is>
          <t>Facturación acelerada / Channel Stuffing</t>
        </is>
      </c>
      <c r="D53" s="77" t="inlineStr">
        <is>
          <t>✅ OK</t>
        </is>
      </c>
      <c r="E53" s="87" t="inlineStr">
        <is>
          <t>🚩 FLAG</t>
        </is>
      </c>
      <c r="F53" s="87" t="inlineStr">
        <is>
          <t>🚩 FLAG</t>
        </is>
      </c>
      <c r="G53" s="77" t="inlineStr">
        <is>
          <t>✅ OK</t>
        </is>
      </c>
      <c r="H53" s="77" t="inlineStr">
        <is>
          <t>✅ OK</t>
        </is>
      </c>
      <c r="I53" s="87" t="inlineStr">
        <is>
          <t>🚩 FLAG</t>
        </is>
      </c>
      <c r="J53" s="77" t="inlineStr">
        <is>
          <t>✅ OK</t>
        </is>
      </c>
      <c r="K53" s="77" t="inlineStr">
        <is>
          <t>✅ OK</t>
        </is>
      </c>
      <c r="L53" s="87" t="inlineStr">
        <is>
          <t>🚩 FLAG</t>
        </is>
      </c>
      <c r="M53" s="77" t="inlineStr">
        <is>
          <t>✅ OK</t>
        </is>
      </c>
      <c r="N53" s="56" t="inlineStr">
        <is>
          <t>-</t>
        </is>
      </c>
    </row>
    <row r="54" ht="18.5" customHeight="1">
      <c r="A54" s="6" t="inlineStr">
        <is>
          <t>Bandera 3: Inventarios &gt; Coste de Ventas</t>
        </is>
      </c>
      <c r="B54" s="35" t="inlineStr">
        <is>
          <t>Δ Inventarios % &gt; Δ Coste de Ventas %</t>
        </is>
      </c>
      <c r="C54" s="86" t="inlineStr">
        <is>
          <t>Sobreproducción para absorber costes o stock obsoleto</t>
        </is>
      </c>
      <c r="D54" s="87" t="inlineStr">
        <is>
          <t>🚩 FLAG</t>
        </is>
      </c>
      <c r="E54" s="87" t="inlineStr">
        <is>
          <t>🚩 FLAG</t>
        </is>
      </c>
      <c r="F54" s="77" t="inlineStr">
        <is>
          <t>✅ OK</t>
        </is>
      </c>
      <c r="G54" s="87" t="inlineStr">
        <is>
          <t>🚩 FLAG</t>
        </is>
      </c>
      <c r="H54" s="77" t="inlineStr">
        <is>
          <t>✅ OK</t>
        </is>
      </c>
      <c r="I54" s="87" t="inlineStr">
        <is>
          <t>🚩 FLAG</t>
        </is>
      </c>
      <c r="J54" s="87" t="inlineStr">
        <is>
          <t>🚩 FLAG</t>
        </is>
      </c>
      <c r="K54" s="77" t="inlineStr">
        <is>
          <t>✅ OK</t>
        </is>
      </c>
      <c r="L54" s="87" t="inlineStr">
        <is>
          <t>🚩 FLAG</t>
        </is>
      </c>
      <c r="M54" s="87" t="inlineStr">
        <is>
          <t>🚩 FLAG</t>
        </is>
      </c>
      <c r="N54" s="56" t="inlineStr">
        <is>
          <t>-</t>
        </is>
      </c>
    </row>
    <row r="55" ht="18.5" customHeight="1">
      <c r="A55" s="6" t="inlineStr">
        <is>
          <t>Bandera 4: Deterioro del Margen Bruto</t>
        </is>
      </c>
      <c r="B55" s="35" t="inlineStr">
        <is>
          <t>Margen Bruto_t &lt; Margen Bruto_t-1</t>
        </is>
      </c>
      <c r="C55" s="86" t="inlineStr">
        <is>
          <t>Presión en márgenes que incita al maquillaje</t>
        </is>
      </c>
      <c r="D55" s="87" t="inlineStr">
        <is>
          <t>🚩 FLAG</t>
        </is>
      </c>
      <c r="E55" s="87" t="inlineStr">
        <is>
          <t>🚩 FLAG</t>
        </is>
      </c>
      <c r="F55" s="87" t="inlineStr">
        <is>
          <t>🚩 FLAG</t>
        </is>
      </c>
      <c r="G55" s="77" t="inlineStr">
        <is>
          <t>✅ OK</t>
        </is>
      </c>
      <c r="H55" s="77" t="inlineStr">
        <is>
          <t>✅ OK</t>
        </is>
      </c>
      <c r="I55" s="87" t="inlineStr">
        <is>
          <t>🚩 FLAG</t>
        </is>
      </c>
      <c r="J55" s="87" t="inlineStr">
        <is>
          <t>🚩 FLAG</t>
        </is>
      </c>
      <c r="K55" s="87" t="inlineStr">
        <is>
          <t>🚩 FLAG</t>
        </is>
      </c>
      <c r="L55" s="87" t="inlineStr">
        <is>
          <t>🚩 FLAG</t>
        </is>
      </c>
      <c r="M55" s="87" t="inlineStr">
        <is>
          <t>🚩 FLAG</t>
        </is>
      </c>
      <c r="N55" s="56" t="inlineStr">
        <is>
          <t>-</t>
        </is>
      </c>
    </row>
    <row r="56" ht="18.5" customHeight="1">
      <c r="A56" s="6" t="inlineStr">
        <is>
          <t>Bandera 5: Incremento de Activos Blandos</t>
        </is>
      </c>
      <c r="B56" s="35" t="inlineStr">
        <is>
          <t>Ratio Activos Blandos_t &gt; Ratio_t-1</t>
        </is>
      </c>
      <c r="C56" s="86" t="inlineStr">
        <is>
          <t>Capitalización indebida de gastos diferidos</t>
        </is>
      </c>
      <c r="D56" s="87" t="inlineStr">
        <is>
          <t>🚩 FLAG</t>
        </is>
      </c>
      <c r="E56" s="87" t="inlineStr">
        <is>
          <t>🚩 FLAG</t>
        </is>
      </c>
      <c r="F56" s="87" t="inlineStr">
        <is>
          <t>🚩 FLAG</t>
        </is>
      </c>
      <c r="G56" s="77" t="inlineStr">
        <is>
          <t>✅ OK</t>
        </is>
      </c>
      <c r="H56" s="87" t="inlineStr">
        <is>
          <t>🚩 FLAG</t>
        </is>
      </c>
      <c r="I56" s="87" t="inlineStr">
        <is>
          <t>🚩 FLAG</t>
        </is>
      </c>
      <c r="J56" s="77" t="inlineStr">
        <is>
          <t>✅ OK</t>
        </is>
      </c>
      <c r="K56" s="77" t="inlineStr">
        <is>
          <t>✅ OK</t>
        </is>
      </c>
      <c r="L56" s="87" t="inlineStr">
        <is>
          <t>🚩 FLAG</t>
        </is>
      </c>
      <c r="M56" s="77" t="inlineStr">
        <is>
          <t>✅ OK</t>
        </is>
      </c>
      <c r="N56" s="56" t="inlineStr">
        <is>
          <t>-</t>
        </is>
      </c>
    </row>
    <row r="57" ht="18.5" customHeight="1">
      <c r="A57" s="6" t="inlineStr">
        <is>
          <t>Bandera 6: Reducción de Tasa de Depreciación</t>
        </is>
      </c>
      <c r="B57" s="35" t="inlineStr">
        <is>
          <t>Tasa Depreciación_t &lt; Tasa Depreciación_t-1</t>
        </is>
      </c>
      <c r="C57" s="86" t="inlineStr">
        <is>
          <t>Estiramiento de vidas útiles para inflar utilidad</t>
        </is>
      </c>
      <c r="D57" s="77" t="inlineStr">
        <is>
          <t>✅ OK</t>
        </is>
      </c>
      <c r="E57" s="87" t="inlineStr">
        <is>
          <t>🚩 FLAG</t>
        </is>
      </c>
      <c r="F57" s="77" t="inlineStr">
        <is>
          <t>✅ OK</t>
        </is>
      </c>
      <c r="G57" s="77" t="inlineStr">
        <is>
          <t>✅ OK</t>
        </is>
      </c>
      <c r="H57" s="77" t="inlineStr">
        <is>
          <t>✅ OK</t>
        </is>
      </c>
      <c r="I57" s="87" t="inlineStr">
        <is>
          <t>🚩 FLAG</t>
        </is>
      </c>
      <c r="J57" s="87" t="inlineStr">
        <is>
          <t>🚩 FLAG</t>
        </is>
      </c>
      <c r="K57" s="77" t="inlineStr">
        <is>
          <t>✅ OK</t>
        </is>
      </c>
      <c r="L57" s="87" t="inlineStr">
        <is>
          <t>🚩 FLAG</t>
        </is>
      </c>
      <c r="M57" s="77" t="inlineStr">
        <is>
          <t>✅ OK</t>
        </is>
      </c>
      <c r="N57" s="56" t="inlineStr">
        <is>
          <t>-</t>
        </is>
      </c>
    </row>
    <row r="58" ht="22" customHeight="1">
      <c r="A58" s="88" t="inlineStr">
        <is>
          <t>(=) MONTIER C-SCORE TOTAL (0 a 6 Puntos)</t>
        </is>
      </c>
      <c r="B58" s="88" t="inlineStr">
        <is>
          <t>Suma de Banderas Activas (0 a 6)</t>
        </is>
      </c>
      <c r="C58" s="89" t="inlineStr">
        <is>
          <t>0-1: Bajo Riesgo | 2-3: Moderado | 4-6: Alto Riesgo</t>
        </is>
      </c>
      <c r="D58" s="90" t="inlineStr">
        <is>
          <t>3/6</t>
        </is>
      </c>
      <c r="E58" s="91" t="inlineStr">
        <is>
          <t>5/6</t>
        </is>
      </c>
      <c r="F58" s="90" t="inlineStr">
        <is>
          <t>3/6</t>
        </is>
      </c>
      <c r="G58" s="92" t="inlineStr">
        <is>
          <t>1/6</t>
        </is>
      </c>
      <c r="H58" s="92" t="inlineStr">
        <is>
          <t>1/6</t>
        </is>
      </c>
      <c r="I58" s="91" t="inlineStr">
        <is>
          <t>5/6</t>
        </is>
      </c>
      <c r="J58" s="90" t="inlineStr">
        <is>
          <t>3/6</t>
        </is>
      </c>
      <c r="K58" s="92" t="inlineStr">
        <is>
          <t>1/6</t>
        </is>
      </c>
      <c r="L58" s="91" t="inlineStr">
        <is>
          <t>5/6</t>
        </is>
      </c>
      <c r="M58" s="90" t="inlineStr">
        <is>
          <t>2/6</t>
        </is>
      </c>
      <c r="N58" s="89" t="inlineStr">
        <is>
          <t>-</t>
        </is>
      </c>
    </row>
    <row r="59" ht="22" customHeight="1">
      <c r="A59" s="42" t="inlineStr">
        <is>
          <t>Nivel de Riesgo &amp; Dictamen C-Score</t>
        </is>
      </c>
      <c r="B59" s="35" t="inlineStr">
        <is>
          <t>Clasificación Institucional de Riesgo Forense</t>
        </is>
      </c>
      <c r="C59" s="73" t="inlineStr">
        <is>
          <t>Probabilidad Empírica de Manipulación</t>
        </is>
      </c>
      <c r="D59" s="65" t="inlineStr">
        <is>
          <t>RIESGO MODERADO / ALERTA PREVENTIVA</t>
        </is>
      </c>
      <c r="E59" s="87" t="inlineStr">
        <is>
          <t>RIESGO ALTO / ALERTA FORENSE</t>
        </is>
      </c>
      <c r="F59" s="65" t="inlineStr">
        <is>
          <t>RIESGO MODERADO / ALERTA PREVENTIVA</t>
        </is>
      </c>
      <c r="G59" s="77" t="inlineStr">
        <is>
          <t>RIESGO MUY BAJO / LIBROS LIMPIOS</t>
        </is>
      </c>
      <c r="H59" s="77" t="inlineStr">
        <is>
          <t>RIESGO MUY BAJO / LIBROS LIMPIOS</t>
        </is>
      </c>
      <c r="I59" s="87" t="inlineStr">
        <is>
          <t>RIESGO ALTO / ALERTA FORENSE</t>
        </is>
      </c>
      <c r="J59" s="65" t="inlineStr">
        <is>
          <t>RIESGO MODERADO / ALERTA PREVENTIVA</t>
        </is>
      </c>
      <c r="K59" s="77" t="inlineStr">
        <is>
          <t>RIESGO MUY BAJO / LIBROS LIMPIOS</t>
        </is>
      </c>
      <c r="L59" s="87" t="inlineStr">
        <is>
          <t>RIESGO ALTO / ALERTA FORENSE</t>
        </is>
      </c>
      <c r="M59" s="65" t="inlineStr">
        <is>
          <t>RIESGO MODERADO / ALERTA PREVENTIVA</t>
        </is>
      </c>
      <c r="N59" s="73" t="inlineStr">
        <is>
          <t>DATOS INSUFICIENTES (SIN T-1)</t>
        </is>
      </c>
    </row>
  </sheetData>
  <mergeCells count="2">
    <mergeCell ref="A17:N17"/>
    <mergeCell ref="B5:N5"/>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57"/>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min="1" max="1"/>
    <col width="22" customWidth="1" min="2" max="2"/>
    <col width="22"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s>
  <sheetData>
    <row r="1" ht="30" customHeight="1">
      <c r="A1" s="1" t="inlineStr">
        <is>
          <t>MERCADOLIBRE INC (MELI) - Solvencia, Deuda &amp; Estrés Financiero (Credit Risk Engine)</t>
        </is>
      </c>
    </row>
    <row r="2" ht="18" customHeight="1">
      <c r="A2" s="2" t="inlineStr">
        <is>
          <t>Análisis Institucional: Capacidad de Pago contra Flujos de Caja, Cobertura de Intereses, Liquidez y Quiebra (Altman Z'' &amp; Damodaran)</t>
        </is>
      </c>
    </row>
    <row r="3" ht="8" customHeight="1"/>
    <row r="4" ht="22" customHeight="1">
      <c r="A4" s="18" t="inlineStr">
        <is>
          <t>DICTAMEN GLOBAL DE SOLVENCIA</t>
        </is>
      </c>
      <c r="B4" s="29" t="inlineStr">
        <is>
          <t>Período: LTM</t>
        </is>
      </c>
      <c r="C4" s="29" t="inlineStr">
        <is>
          <t>Rating Sintético: A [SOLVENCIA BUENA (A / A2)]</t>
        </is>
      </c>
      <c r="D4" s="29" t="inlineStr">
        <is>
          <t>Altman Z'': 1.56 [ZONA GRIS]</t>
        </is>
      </c>
      <c r="E4" s="29" t="inlineStr">
        <is>
          <t>Estado: SOLVENCIA MODERADA</t>
        </is>
      </c>
      <c r="F4" s="19" t="n"/>
      <c r="G4" s="19" t="n"/>
      <c r="H4" s="19" t="n"/>
      <c r="I4" s="19" t="n"/>
      <c r="J4" s="19" t="n"/>
      <c r="K4" s="19" t="n"/>
      <c r="L4" s="19" t="n"/>
      <c r="M4" s="19" t="n"/>
      <c r="N4" s="19" t="n"/>
    </row>
    <row r="5" ht="56" customHeight="1">
      <c r="A5" s="63" t="inlineStr">
        <is>
          <t>VEREDICTO SOLVENCIA:</t>
        </is>
      </c>
      <c r="B5" s="93" t="inlineStr">
        <is>
          <t>SOLVENCIA EQUILIBRADA BAJO MONITOREO: Apalancamiento controlado (1.87x), cobertura de 4.8x y Altman Z''-Score de 1.56. Estructura de capital adecuada sin riesgos inminentes de impago.</t>
        </is>
      </c>
      <c r="C5" s="31" t="n"/>
      <c r="D5" s="31" t="n"/>
      <c r="E5" s="31" t="n"/>
      <c r="F5" s="31" t="n"/>
      <c r="G5" s="31" t="n"/>
      <c r="H5" s="31" t="n"/>
      <c r="I5" s="31" t="n"/>
      <c r="J5" s="31" t="n"/>
      <c r="K5" s="31" t="n"/>
      <c r="L5" s="31" t="n"/>
      <c r="M5" s="31" t="n"/>
      <c r="N5" s="31" t="n"/>
    </row>
    <row r="6" ht="10" customHeight="1"/>
    <row r="7" ht="22" customHeight="1">
      <c r="A7" s="18" t="inlineStr">
        <is>
          <t>TABLA 1: APALANCAMIENTO Y CAPACIDAD DE AMORTIZACIÓN (CASH FLOW LEVERAGE)</t>
        </is>
      </c>
      <c r="B7" s="19" t="n"/>
      <c r="C7" s="19" t="n"/>
      <c r="D7" s="19" t="n"/>
      <c r="E7" s="19" t="n"/>
      <c r="F7" s="19" t="n"/>
      <c r="G7" s="19" t="n"/>
      <c r="H7" s="19" t="n"/>
      <c r="I7" s="19" t="n"/>
      <c r="J7" s="19" t="n"/>
      <c r="K7" s="19" t="n"/>
      <c r="L7" s="19" t="n"/>
      <c r="M7" s="19" t="n"/>
      <c r="N7" s="19" t="n"/>
    </row>
    <row r="8" ht="25" customHeight="1">
      <c r="A8" s="3" t="inlineStr">
        <is>
          <t>Componente / Métrica de Apalancamiento</t>
        </is>
      </c>
      <c r="B8" s="3" t="inlineStr">
        <is>
          <t>Definición / Fórmula Contable</t>
        </is>
      </c>
      <c r="C8" s="5" t="inlineStr">
        <is>
          <t>Zona Óptima / Umbral Crediticio</t>
        </is>
      </c>
      <c r="D8" s="4" t="inlineStr">
        <is>
          <t>LTM</t>
        </is>
      </c>
      <c r="E8" s="5" t="inlineStr">
        <is>
          <t>FY2025</t>
        </is>
      </c>
      <c r="F8" s="5" t="inlineStr">
        <is>
          <t>FY2024</t>
        </is>
      </c>
      <c r="G8" s="5" t="inlineStr">
        <is>
          <t>FY2023</t>
        </is>
      </c>
      <c r="H8" s="5" t="inlineStr">
        <is>
          <t>FY2022</t>
        </is>
      </c>
      <c r="I8" s="5" t="inlineStr">
        <is>
          <t>FY2021</t>
        </is>
      </c>
      <c r="J8" s="5" t="inlineStr">
        <is>
          <t>FY2020</t>
        </is>
      </c>
      <c r="K8" s="5" t="inlineStr">
        <is>
          <t>FY2019</t>
        </is>
      </c>
      <c r="L8" s="5" t="inlineStr">
        <is>
          <t>FY2018</t>
        </is>
      </c>
      <c r="M8" s="5" t="inlineStr">
        <is>
          <t>FY2017</t>
        </is>
      </c>
      <c r="N8" s="5" t="inlineStr">
        <is>
          <t>FY2016</t>
        </is>
      </c>
    </row>
    <row r="9" ht="18.5" customHeight="1">
      <c r="A9" s="6" t="inlineStr">
        <is>
          <t>(+) Deuda Financiera Total ($M)</t>
        </is>
      </c>
      <c r="B9" s="35" t="inlineStr">
        <is>
          <t>Short-Term Debt + Long-Term Debt</t>
        </is>
      </c>
      <c r="C9" s="73" t="inlineStr">
        <is>
          <t>Referencia Balance</t>
        </is>
      </c>
      <c r="D9" s="22" t="n">
        <v>10626</v>
      </c>
      <c r="E9" s="22" t="n">
        <v>9193</v>
      </c>
      <c r="F9" s="22" t="n">
        <v>5715</v>
      </c>
      <c r="G9" s="22" t="n">
        <v>4495</v>
      </c>
      <c r="H9" s="22" t="n">
        <v>4758</v>
      </c>
      <c r="I9" s="22" t="n">
        <v>0</v>
      </c>
      <c r="J9" s="22" t="n">
        <v>0</v>
      </c>
      <c r="K9" s="22" t="n">
        <v>0</v>
      </c>
      <c r="L9" s="22" t="n">
        <v>0</v>
      </c>
      <c r="M9" s="22" t="n">
        <v>0</v>
      </c>
      <c r="N9" s="22" t="n">
        <v>0</v>
      </c>
    </row>
    <row r="10" ht="18.5" customHeight="1">
      <c r="A10" s="6" t="inlineStr">
        <is>
          <t>(-) Tesorería y Equivalentes ($M)</t>
        </is>
      </c>
      <c r="B10" s="35" t="inlineStr">
        <is>
          <t>Cash &amp; Cash Equivalents</t>
        </is>
      </c>
      <c r="C10" s="73" t="inlineStr">
        <is>
          <t>Liquidez Inmediata</t>
        </is>
      </c>
      <c r="D10" s="22" t="n">
        <v>3649</v>
      </c>
      <c r="E10" s="22" t="n">
        <v>3670</v>
      </c>
      <c r="F10" s="22" t="n">
        <v>2635</v>
      </c>
      <c r="G10" s="22" t="n">
        <v>2556</v>
      </c>
      <c r="H10" s="22" t="n">
        <v>1910</v>
      </c>
      <c r="I10" s="22" t="n">
        <v>2584.6</v>
      </c>
      <c r="J10" s="22" t="n">
        <v>1856.4</v>
      </c>
      <c r="K10" s="22" t="n">
        <v>1384.7</v>
      </c>
      <c r="L10" s="22" t="n">
        <v>440.3</v>
      </c>
      <c r="M10" s="22" t="n">
        <v>388.3</v>
      </c>
      <c r="N10" s="22" t="n">
        <v>234.1</v>
      </c>
    </row>
    <row r="11" ht="18.5" customHeight="1">
      <c r="A11" s="12" t="inlineStr">
        <is>
          <t>(=) Deuda Financiera Neta ($M)</t>
        </is>
      </c>
      <c r="B11" s="94" t="inlineStr">
        <is>
          <t>Deuda Total - Tesorería</t>
        </is>
      </c>
      <c r="C11" s="95" t="inlineStr">
        <is>
          <t>Caja Neta &lt; $0 (Deseable)</t>
        </is>
      </c>
      <c r="D11" s="96" t="n">
        <v>6977</v>
      </c>
      <c r="E11" s="96" t="n">
        <v>5523</v>
      </c>
      <c r="F11" s="96" t="n">
        <v>3080</v>
      </c>
      <c r="G11" s="96" t="n">
        <v>1939</v>
      </c>
      <c r="H11" s="96" t="n">
        <v>2848</v>
      </c>
      <c r="I11" s="96" t="n">
        <v>-2584.6</v>
      </c>
      <c r="J11" s="96" t="n">
        <v>-1856.4</v>
      </c>
      <c r="K11" s="96" t="n">
        <v>-1384.7</v>
      </c>
      <c r="L11" s="96" t="n">
        <v>-440.3</v>
      </c>
      <c r="M11" s="96" t="n">
        <v>-388.3</v>
      </c>
      <c r="N11" s="96" t="n">
        <v>-234.1</v>
      </c>
    </row>
    <row r="12" ht="18.5" customHeight="1">
      <c r="A12" s="6" t="inlineStr">
        <is>
          <t>(+) Beneficio Operativo EBIT ($M)</t>
        </is>
      </c>
      <c r="B12" s="35" t="inlineStr">
        <is>
          <t>Operating Income Reportado</t>
        </is>
      </c>
      <c r="C12" s="73" t="inlineStr">
        <is>
          <t>Capacidad Operativa</t>
        </is>
      </c>
      <c r="D12" s="22" t="n">
        <v>2907</v>
      </c>
      <c r="E12" s="22" t="n">
        <v>3201</v>
      </c>
      <c r="F12" s="22" t="n">
        <v>2631</v>
      </c>
      <c r="G12" s="22" t="n">
        <v>1823</v>
      </c>
      <c r="H12" s="22" t="n">
        <v>1034</v>
      </c>
      <c r="I12" s="22" t="n">
        <v>440.7</v>
      </c>
      <c r="J12" s="22" t="n">
        <v>127.7</v>
      </c>
      <c r="K12" s="22" t="n">
        <v>-153.2</v>
      </c>
      <c r="L12" s="22" t="n">
        <v>-69.5</v>
      </c>
      <c r="M12" s="22" t="n">
        <v>56.3</v>
      </c>
      <c r="N12" s="22" t="n">
        <v>181.1</v>
      </c>
    </row>
    <row r="13" ht="18.5" customHeight="1">
      <c r="A13" s="6" t="inlineStr">
        <is>
          <t>(+) Depreciación y Amortización ($M)</t>
        </is>
      </c>
      <c r="B13" s="35" t="inlineStr">
        <is>
          <t>D&amp;A en Estado de Flujos</t>
        </is>
      </c>
      <c r="C13" s="73" t="inlineStr">
        <is>
          <t>Gasto No Monetario</t>
        </is>
      </c>
      <c r="D13" s="22" t="n">
        <v>818</v>
      </c>
      <c r="E13" s="22" t="n">
        <v>818</v>
      </c>
      <c r="F13" s="22" t="n">
        <v>617</v>
      </c>
      <c r="G13" s="22" t="n">
        <v>524</v>
      </c>
      <c r="H13" s="22" t="n">
        <v>403</v>
      </c>
      <c r="I13" s="22" t="n">
        <v>203.9</v>
      </c>
      <c r="J13" s="22" t="n">
        <v>105</v>
      </c>
      <c r="K13" s="22" t="n">
        <v>73.3</v>
      </c>
      <c r="L13" s="22" t="n">
        <v>45.8</v>
      </c>
      <c r="M13" s="22" t="n">
        <v>40.9</v>
      </c>
      <c r="N13" s="22" t="n">
        <v>29</v>
      </c>
    </row>
    <row r="14" ht="18.5" customHeight="1">
      <c r="A14" s="12" t="inlineStr">
        <is>
          <t>(=) EBITDA ($M) [Generación Bruta]</t>
        </is>
      </c>
      <c r="B14" s="94" t="inlineStr">
        <is>
          <t>EBIT + Depreciación y Amortización</t>
        </is>
      </c>
      <c r="C14" s="95" t="inlineStr">
        <is>
          <t>Base Operativa Bruta</t>
        </is>
      </c>
      <c r="D14" s="96" t="n">
        <v>3725</v>
      </c>
      <c r="E14" s="96" t="n">
        <v>4019</v>
      </c>
      <c r="F14" s="96" t="n">
        <v>3248</v>
      </c>
      <c r="G14" s="96" t="n">
        <v>2347</v>
      </c>
      <c r="H14" s="96" t="n">
        <v>1437</v>
      </c>
      <c r="I14" s="96" t="n">
        <v>644.6</v>
      </c>
      <c r="J14" s="96" t="n">
        <v>232.7</v>
      </c>
      <c r="K14" s="96" t="n">
        <v>-79.8</v>
      </c>
      <c r="L14" s="96" t="n">
        <v>-23.7</v>
      </c>
      <c r="M14" s="96" t="n">
        <v>97.2</v>
      </c>
      <c r="N14" s="96" t="n">
        <v>210.1</v>
      </c>
    </row>
    <row r="15" ht="18.5" customHeight="1">
      <c r="A15" s="88" t="inlineStr">
        <is>
          <t>(=) Deuda Neta / EBITDA (Años de EBITDA)</t>
        </is>
      </c>
      <c r="B15" s="97" t="inlineStr">
        <is>
          <t>Deuda Neta / EBITDA</t>
        </is>
      </c>
      <c r="C15" s="98" t="inlineStr">
        <is>
          <t>Óptimo: &lt; 1.5x | Alerta: &gt; 3.5x</t>
        </is>
      </c>
      <c r="D15" s="99" t="n">
        <v>1.87</v>
      </c>
      <c r="E15" s="99" t="n">
        <v>1.37</v>
      </c>
      <c r="F15" s="99" t="n">
        <v>0.95</v>
      </c>
      <c r="G15" s="99" t="n">
        <v>0.83</v>
      </c>
      <c r="H15" s="99" t="n">
        <v>1.98</v>
      </c>
      <c r="I15" s="92" t="inlineStr">
        <is>
          <t>CAJA NETA</t>
        </is>
      </c>
      <c r="J15" s="92" t="inlineStr">
        <is>
          <t>CAJA NETA</t>
        </is>
      </c>
      <c r="K15" s="92" t="inlineStr">
        <is>
          <t>CAJA NETA</t>
        </is>
      </c>
      <c r="L15" s="92" t="inlineStr">
        <is>
          <t>CAJA NETA</t>
        </is>
      </c>
      <c r="M15" s="92" t="inlineStr">
        <is>
          <t>CAJA NETA</t>
        </is>
      </c>
      <c r="N15" s="92" t="inlineStr">
        <is>
          <t>CAJA NETA</t>
        </is>
      </c>
    </row>
    <row r="16" ht="18.5" customHeight="1">
      <c r="A16" s="6" t="inlineStr">
        <is>
          <t>(+) Flujo de Caja Libre FCF ($M)</t>
        </is>
      </c>
      <c r="B16" s="35" t="inlineStr">
        <is>
          <t>Flujo Operativo (CFO) - CapEx</t>
        </is>
      </c>
      <c r="C16" s="73" t="inlineStr">
        <is>
          <t>Caja de Libre Disposición</t>
        </is>
      </c>
      <c r="D16" s="22" t="n">
        <v>12409</v>
      </c>
      <c r="E16" s="22" t="n">
        <v>10773</v>
      </c>
      <c r="F16" s="22" t="n">
        <v>7058</v>
      </c>
      <c r="G16" s="22" t="n">
        <v>4631</v>
      </c>
      <c r="H16" s="22" t="n">
        <v>2486</v>
      </c>
      <c r="I16" s="22" t="n">
        <v>392.1</v>
      </c>
      <c r="J16" s="22" t="n">
        <v>935.5</v>
      </c>
      <c r="K16" s="22" t="n">
        <v>314.3</v>
      </c>
      <c r="L16" s="22" t="n">
        <v>137.8</v>
      </c>
      <c r="M16" s="22" t="n">
        <v>213.9</v>
      </c>
      <c r="N16" s="22" t="n">
        <v>121.7</v>
      </c>
    </row>
    <row r="17" ht="18.5" customHeight="1">
      <c r="A17" s="88" t="inlineStr">
        <is>
          <t>(=) Deuda Neta / FCF (Años de Caja Libre)</t>
        </is>
      </c>
      <c r="B17" s="97" t="inlineStr">
        <is>
          <t>Deuda Neta / FCF</t>
        </is>
      </c>
      <c r="C17" s="98" t="inlineStr">
        <is>
          <t>Óptimo: &lt; 2.0x | Alerta: &gt; 4.0x</t>
        </is>
      </c>
      <c r="D17" s="99" t="n">
        <v>0.5600000000000001</v>
      </c>
      <c r="E17" s="99" t="n">
        <v>0.51</v>
      </c>
      <c r="F17" s="99" t="n">
        <v>0.44</v>
      </c>
      <c r="G17" s="99" t="n">
        <v>0.42</v>
      </c>
      <c r="H17" s="99" t="n">
        <v>1.15</v>
      </c>
      <c r="I17" s="92" t="inlineStr">
        <is>
          <t>CAJA NETA</t>
        </is>
      </c>
      <c r="J17" s="92" t="inlineStr">
        <is>
          <t>CAJA NETA</t>
        </is>
      </c>
      <c r="K17" s="92" t="inlineStr">
        <is>
          <t>CAJA NETA</t>
        </is>
      </c>
      <c r="L17" s="92" t="inlineStr">
        <is>
          <t>CAJA NETA</t>
        </is>
      </c>
      <c r="M17" s="92" t="inlineStr">
        <is>
          <t>CAJA NETA</t>
        </is>
      </c>
      <c r="N17" s="92" t="inlineStr">
        <is>
          <t>CAJA NETA</t>
        </is>
      </c>
    </row>
    <row r="18" ht="18.5" customHeight="1">
      <c r="A18" s="6" t="inlineStr">
        <is>
          <t>Deuda Total / Flujo de Caja Operativo (x)</t>
        </is>
      </c>
      <c r="B18" s="35" t="inlineStr">
        <is>
          <t>Deuda Total / CFO</t>
        </is>
      </c>
      <c r="C18" s="73" t="inlineStr">
        <is>
          <t>Óptimo: &lt; 2.0x | Alerta: &gt; 4.0x</t>
        </is>
      </c>
      <c r="D18" s="21" t="n">
        <v>0.76</v>
      </c>
      <c r="E18" s="21" t="n">
        <v>0.76</v>
      </c>
      <c r="F18" s="21" t="n">
        <v>0.72</v>
      </c>
      <c r="G18" s="21" t="n">
        <v>0.87</v>
      </c>
      <c r="H18" s="21" t="n">
        <v>1.62</v>
      </c>
      <c r="I18" s="21" t="n">
        <v>0</v>
      </c>
      <c r="J18" s="21" t="n">
        <v>0</v>
      </c>
      <c r="K18" s="21" t="n">
        <v>0</v>
      </c>
      <c r="L18" s="21" t="n">
        <v>0</v>
      </c>
      <c r="M18" s="21" t="n">
        <v>0</v>
      </c>
      <c r="N18" s="21" t="n">
        <v>0</v>
      </c>
    </row>
    <row r="19" ht="22" customHeight="1">
      <c r="A19" s="42" t="inlineStr">
        <is>
          <t>Diagnóstico de Capacidad de Repago</t>
        </is>
      </c>
      <c r="B19" s="35" t="inlineStr">
        <is>
          <t>Evaluación de Amortización contra Caja</t>
        </is>
      </c>
      <c r="C19" s="73" t="inlineStr">
        <is>
          <t>Sostenibilidad de Deuda</t>
        </is>
      </c>
      <c r="D19" s="100" t="inlineStr">
        <is>
          <t>APALANCAMIENTO SALUDABLE</t>
        </is>
      </c>
      <c r="E19" s="77" t="inlineStr">
        <is>
          <t>APALANCAMIENTO BAJO</t>
        </is>
      </c>
      <c r="F19" s="77" t="inlineStr">
        <is>
          <t>APALANCAMIENTO BAJO</t>
        </is>
      </c>
      <c r="G19" s="77" t="inlineStr">
        <is>
          <t>APALANCAMIENTO BAJO</t>
        </is>
      </c>
      <c r="H19" s="100" t="inlineStr">
        <is>
          <t>APALANCAMIENTO SALUDABLE</t>
        </is>
      </c>
      <c r="I19" s="77" t="inlineStr">
        <is>
          <t>CAJA NETA</t>
        </is>
      </c>
      <c r="J19" s="77" t="inlineStr">
        <is>
          <t>CAJA NETA</t>
        </is>
      </c>
      <c r="K19" s="77" t="inlineStr">
        <is>
          <t>CAJA NETA</t>
        </is>
      </c>
      <c r="L19" s="77" t="inlineStr">
        <is>
          <t>CAJA NETA</t>
        </is>
      </c>
      <c r="M19" s="77" t="inlineStr">
        <is>
          <t>CAJA NETA</t>
        </is>
      </c>
      <c r="N19" s="77" t="inlineStr">
        <is>
          <t>CAJA NETA</t>
        </is>
      </c>
    </row>
    <row r="20" ht="56" customHeight="1">
      <c r="A20" s="78" t="inlineStr">
        <is>
          <t>Diagnóstico de Apalancamiento (LTM): Apalancamiento equilibrado y controlado (1.87x EBITDA), común en empresas con flujos de caja predecibles.</t>
        </is>
      </c>
      <c r="B20" s="31" t="n"/>
      <c r="C20" s="31" t="n"/>
      <c r="D20" s="31" t="n"/>
      <c r="E20" s="31" t="n"/>
      <c r="F20" s="31" t="n"/>
      <c r="G20" s="31" t="n"/>
      <c r="H20" s="31" t="n"/>
      <c r="I20" s="31" t="n"/>
      <c r="J20" s="31" t="n"/>
      <c r="K20" s="31" t="n"/>
      <c r="L20" s="31" t="n"/>
      <c r="M20" s="31" t="n"/>
      <c r="N20" s="31" t="n"/>
    </row>
    <row r="21" ht="10" customHeight="1"/>
    <row r="22" ht="22" customHeight="1">
      <c r="A22" s="18" t="inlineStr">
        <is>
          <t>TABLA 2: COBERTURA DE CARGA FINANCIERA Y SERVICIO DE LA DEUDA (INTEREST COVERAGE)</t>
        </is>
      </c>
      <c r="B22" s="19" t="n"/>
      <c r="C22" s="19" t="n"/>
      <c r="D22" s="19" t="n"/>
      <c r="E22" s="19" t="n"/>
      <c r="F22" s="19" t="n"/>
      <c r="G22" s="19" t="n"/>
      <c r="H22" s="19" t="n"/>
      <c r="I22" s="19" t="n"/>
      <c r="J22" s="19" t="n"/>
      <c r="K22" s="19" t="n"/>
      <c r="L22" s="19" t="n"/>
      <c r="M22" s="19" t="n"/>
      <c r="N22" s="19" t="n"/>
    </row>
    <row r="23" ht="25" customHeight="1">
      <c r="A23" s="3" t="inlineStr">
        <is>
          <t>Ratio de Cobertura / Carga Financiera</t>
        </is>
      </c>
      <c r="B23" s="3" t="inlineStr">
        <is>
          <t>Definición / Fórmula de Cobertura</t>
        </is>
      </c>
      <c r="C23" s="5" t="inlineStr">
        <is>
          <t>Umbral de Solvencia Operativa</t>
        </is>
      </c>
      <c r="D23" s="4" t="inlineStr">
        <is>
          <t>LTM</t>
        </is>
      </c>
      <c r="E23" s="5" t="inlineStr">
        <is>
          <t>FY2025</t>
        </is>
      </c>
      <c r="F23" s="5" t="inlineStr">
        <is>
          <t>FY2024</t>
        </is>
      </c>
      <c r="G23" s="5" t="inlineStr">
        <is>
          <t>FY2023</t>
        </is>
      </c>
      <c r="H23" s="5" t="inlineStr">
        <is>
          <t>FY2022</t>
        </is>
      </c>
      <c r="I23" s="5" t="inlineStr">
        <is>
          <t>FY2021</t>
        </is>
      </c>
      <c r="J23" s="5" t="inlineStr">
        <is>
          <t>FY2020</t>
        </is>
      </c>
      <c r="K23" s="5" t="inlineStr">
        <is>
          <t>FY2019</t>
        </is>
      </c>
      <c r="L23" s="5" t="inlineStr">
        <is>
          <t>FY2018</t>
        </is>
      </c>
      <c r="M23" s="5" t="inlineStr">
        <is>
          <t>FY2017</t>
        </is>
      </c>
      <c r="N23" s="5" t="inlineStr">
        <is>
          <t>FY2016</t>
        </is>
      </c>
    </row>
    <row r="24" ht="18.5" customHeight="1">
      <c r="A24" s="6" t="inlineStr">
        <is>
          <t>(+) Utilidad Operativa EBIT ($M) [Operating Income]</t>
        </is>
      </c>
      <c r="B24" s="35" t="inlineStr">
        <is>
          <t>Resultado de Explotación Reportado</t>
        </is>
      </c>
      <c r="C24" s="73" t="inlineStr">
        <is>
          <t>Capacidad Operativa</t>
        </is>
      </c>
      <c r="D24" s="74" t="n">
        <v>2907</v>
      </c>
      <c r="E24" s="74" t="n">
        <v>3201</v>
      </c>
      <c r="F24" s="74" t="n">
        <v>2631</v>
      </c>
      <c r="G24" s="74" t="n">
        <v>1823</v>
      </c>
      <c r="H24" s="74" t="n">
        <v>1034</v>
      </c>
      <c r="I24" s="74" t="n">
        <v>440.7</v>
      </c>
      <c r="J24" s="74" t="n">
        <v>127.7</v>
      </c>
      <c r="K24" s="74" t="n">
        <v>-153.2</v>
      </c>
      <c r="L24" s="74" t="n">
        <v>-69.5</v>
      </c>
      <c r="M24" s="74" t="n">
        <v>56.3</v>
      </c>
      <c r="N24" s="74" t="n">
        <v>181.1</v>
      </c>
    </row>
    <row r="25" ht="18.5" customHeight="1">
      <c r="A25" s="6" t="inlineStr">
        <is>
          <t>(-) Flujo de Caja Operativo CFO ($M) [Cash Flow]</t>
        </is>
      </c>
      <c r="B25" s="35" t="inlineStr">
        <is>
          <t>Generación de Caja Operativa Real</t>
        </is>
      </c>
      <c r="C25" s="73" t="inlineStr">
        <is>
          <t>Capacidad Líquida</t>
        </is>
      </c>
      <c r="D25" s="80" t="inlineStr">
        <is>
          <t>-</t>
        </is>
      </c>
      <c r="E25" s="80" t="inlineStr">
        <is>
          <t>-</t>
        </is>
      </c>
      <c r="F25" s="80" t="inlineStr">
        <is>
          <t>-</t>
        </is>
      </c>
      <c r="G25" s="80" t="inlineStr">
        <is>
          <t>-</t>
        </is>
      </c>
      <c r="H25" s="80" t="inlineStr">
        <is>
          <t>-</t>
        </is>
      </c>
      <c r="I25" s="80" t="inlineStr">
        <is>
          <t>-</t>
        </is>
      </c>
      <c r="J25" s="80" t="inlineStr">
        <is>
          <t>-</t>
        </is>
      </c>
      <c r="K25" s="80" t="inlineStr">
        <is>
          <t>-</t>
        </is>
      </c>
      <c r="L25" s="80" t="inlineStr">
        <is>
          <t>-</t>
        </is>
      </c>
      <c r="M25" s="80" t="inlineStr">
        <is>
          <t>-</t>
        </is>
      </c>
      <c r="N25" s="80" t="inlineStr">
        <is>
          <t>-</t>
        </is>
      </c>
    </row>
    <row r="26" ht="18.5" customHeight="1">
      <c r="A26" s="12" t="inlineStr">
        <is>
          <t>(=) Gasto por Intereses ($M) [Interest Expense]</t>
        </is>
      </c>
      <c r="B26" s="94" t="inlineStr">
        <is>
          <t>Coste de Financiación de Deuda</t>
        </is>
      </c>
      <c r="C26" s="95" t="inlineStr">
        <is>
          <t>Carga Financiera Bruta</t>
        </is>
      </c>
      <c r="D26" s="75" t="n">
        <v>611</v>
      </c>
      <c r="E26" s="75" t="n">
        <v>611</v>
      </c>
      <c r="F26" s="75" t="n">
        <v>456</v>
      </c>
      <c r="G26" s="75" t="n">
        <v>608</v>
      </c>
      <c r="H26" s="75" t="n">
        <v>247</v>
      </c>
      <c r="I26" s="75" t="n">
        <v>57.6</v>
      </c>
      <c r="J26" s="75" t="n">
        <v>53.8</v>
      </c>
      <c r="K26" s="75" t="n">
        <v>40.5</v>
      </c>
      <c r="L26" s="75" t="n">
        <v>19.5</v>
      </c>
      <c r="M26" s="75" t="n">
        <v>18.5</v>
      </c>
      <c r="N26" s="75" t="n">
        <v>17.9</v>
      </c>
    </row>
    <row r="27" ht="18.5" customHeight="1">
      <c r="A27" s="88" t="inlineStr">
        <is>
          <t>Cobertura de Intereses Operativa (EBIT / Intereses)</t>
        </is>
      </c>
      <c r="B27" s="97" t="inlineStr">
        <is>
          <t>EBIT / Gasto de Intereses</t>
        </is>
      </c>
      <c r="C27" s="98" t="inlineStr">
        <is>
          <t>Óptimo: &gt; 10.0x | Alerta: &lt; 2.5x</t>
        </is>
      </c>
      <c r="D27" s="101" t="n">
        <v>4.76</v>
      </c>
      <c r="E27" s="102" t="n">
        <v>5.24</v>
      </c>
      <c r="F27" s="102" t="n">
        <v>5.77</v>
      </c>
      <c r="G27" s="101" t="n">
        <v>3</v>
      </c>
      <c r="H27" s="101" t="n">
        <v>4.19</v>
      </c>
      <c r="I27" s="92" t="inlineStr">
        <is>
          <t>INFINITA (SIN DEUDA)</t>
        </is>
      </c>
      <c r="J27" s="92" t="inlineStr">
        <is>
          <t>INFINITA (SIN DEUDA)</t>
        </is>
      </c>
      <c r="K27" s="92" t="inlineStr">
        <is>
          <t>INFINITA (SIN DEUDA)</t>
        </is>
      </c>
      <c r="L27" s="92" t="inlineStr">
        <is>
          <t>INFINITA (SIN DEUDA)</t>
        </is>
      </c>
      <c r="M27" s="92" t="inlineStr">
        <is>
          <t>INFINITA (SIN DEUDA)</t>
        </is>
      </c>
      <c r="N27" s="92" t="inlineStr">
        <is>
          <t>INFINITA (SIN DEUDA)</t>
        </is>
      </c>
    </row>
    <row r="28" ht="18.5" customHeight="1">
      <c r="A28" s="6" t="inlineStr">
        <is>
          <t>Cobertura de Intereses en Caja (CFO / Intereses)</t>
        </is>
      </c>
      <c r="B28" s="35" t="inlineStr">
        <is>
          <t>CFO / Gasto de Intereses</t>
        </is>
      </c>
      <c r="C28" s="73" t="inlineStr">
        <is>
          <t>Óptimo: &gt; 8.0x | Alerta: &lt; 2.0x</t>
        </is>
      </c>
      <c r="D28" s="103" t="n">
        <v>22.76</v>
      </c>
      <c r="E28" s="103" t="n">
        <v>19.83</v>
      </c>
      <c r="F28" s="103" t="n">
        <v>17.36</v>
      </c>
      <c r="G28" s="104" t="n">
        <v>8.449999999999999</v>
      </c>
      <c r="H28" s="103" t="n">
        <v>11.9</v>
      </c>
      <c r="I28" s="77" t="inlineStr">
        <is>
          <t>INFINITA (SIN DEUDA)</t>
        </is>
      </c>
      <c r="J28" s="77" t="inlineStr">
        <is>
          <t>INFINITA (SIN DEUDA)</t>
        </is>
      </c>
      <c r="K28" s="77" t="inlineStr">
        <is>
          <t>INFINITA (SIN DEUDA)</t>
        </is>
      </c>
      <c r="L28" s="77" t="inlineStr">
        <is>
          <t>INFINITA (SIN DEUDA)</t>
        </is>
      </c>
      <c r="M28" s="77" t="inlineStr">
        <is>
          <t>INFINITA (SIN DEUDA)</t>
        </is>
      </c>
      <c r="N28" s="77" t="inlineStr">
        <is>
          <t>INFINITA (SIN DEUDA)</t>
        </is>
      </c>
    </row>
    <row r="29" ht="18.5" customHeight="1">
      <c r="A29" s="6" t="inlineStr">
        <is>
          <t>Carga Financiera sobre Caja (% Intereses / CFO)</t>
        </is>
      </c>
      <c r="B29" s="35" t="inlineStr">
        <is>
          <t>(Intereses / CFO) * 100</t>
        </is>
      </c>
      <c r="C29" s="73" t="inlineStr">
        <is>
          <t>Óptimo: &lt; 5.0% | Alerta: &gt; 20.0%</t>
        </is>
      </c>
      <c r="D29" s="105" t="n">
        <v>0.04389999999999999</v>
      </c>
      <c r="E29" s="105" t="n">
        <v>0.0504</v>
      </c>
      <c r="F29" s="105" t="n">
        <v>0.0576</v>
      </c>
      <c r="G29" s="105" t="n">
        <v>0.1183</v>
      </c>
      <c r="H29" s="105" t="n">
        <v>0.08400000000000001</v>
      </c>
      <c r="I29" s="105" t="n">
        <v>0</v>
      </c>
      <c r="J29" s="105" t="n">
        <v>0</v>
      </c>
      <c r="K29" s="105" t="n">
        <v>0</v>
      </c>
      <c r="L29" s="105" t="n">
        <v>0</v>
      </c>
      <c r="M29" s="105" t="n">
        <v>0</v>
      </c>
      <c r="N29" s="105" t="n">
        <v>0</v>
      </c>
    </row>
    <row r="30" ht="22" customHeight="1">
      <c r="A30" s="42" t="inlineStr">
        <is>
          <t>Diagnóstico de Cobertura y Servicio</t>
        </is>
      </c>
      <c r="B30" s="35" t="inlineStr">
        <is>
          <t>Protección ante Tipos de Interés</t>
        </is>
      </c>
      <c r="C30" s="73" t="inlineStr">
        <is>
          <t>Resistencia Crediticia</t>
        </is>
      </c>
      <c r="D30" s="65" t="inlineStr">
        <is>
          <t>VIGILANCIA DE INTERESES</t>
        </is>
      </c>
      <c r="E30" s="77" t="inlineStr">
        <is>
          <t>COBERTURA ROBUSTA</t>
        </is>
      </c>
      <c r="F30" s="77" t="inlineStr">
        <is>
          <t>COBERTURA ROBUSTA</t>
        </is>
      </c>
      <c r="G30" s="65" t="inlineStr">
        <is>
          <t>VIGILANCIA DE INTERESES</t>
        </is>
      </c>
      <c r="H30" s="65" t="inlineStr">
        <is>
          <t>VIGILANCIA DE INTERESES</t>
        </is>
      </c>
      <c r="I30" s="77" t="inlineStr">
        <is>
          <t>SERVICIO BLINDADO</t>
        </is>
      </c>
      <c r="J30" s="77" t="inlineStr">
        <is>
          <t>SERVICIO BLINDADO</t>
        </is>
      </c>
      <c r="K30" s="77" t="inlineStr">
        <is>
          <t>SERVICIO BLINDADO</t>
        </is>
      </c>
      <c r="L30" s="77" t="inlineStr">
        <is>
          <t>SERVICIO BLINDADO</t>
        </is>
      </c>
      <c r="M30" s="77" t="inlineStr">
        <is>
          <t>SERVICIO BLINDADO</t>
        </is>
      </c>
      <c r="N30" s="77" t="inlineStr">
        <is>
          <t>SERVICIO BLINDADO</t>
        </is>
      </c>
    </row>
    <row r="31" ht="40" customHeight="1">
      <c r="A31" s="78" t="inlineStr">
        <is>
          <t>Diagnóstico de Cobertura (LTM): Cobertura ajustada (4.8x). Sensibilidad ante caídas de margen o subidas de tipos.</t>
        </is>
      </c>
      <c r="B31" s="31" t="n"/>
      <c r="C31" s="31" t="n"/>
      <c r="D31" s="31" t="n"/>
      <c r="E31" s="31" t="n"/>
      <c r="F31" s="31" t="n"/>
      <c r="G31" s="31" t="n"/>
      <c r="H31" s="31" t="n"/>
      <c r="I31" s="31" t="n"/>
      <c r="J31" s="31" t="n"/>
      <c r="K31" s="31" t="n"/>
      <c r="L31" s="31" t="n"/>
      <c r="M31" s="31" t="n"/>
      <c r="N31" s="31" t="n"/>
    </row>
    <row r="32" ht="10" customHeight="1"/>
    <row r="33" ht="22" customHeight="1">
      <c r="A33" s="18" t="inlineStr">
        <is>
          <t>TABLA 3: LIQUIDEZ ESTRICTA Y RIESGO DE REFINANCIACIÓN (ROLLOVER RISK)</t>
        </is>
      </c>
      <c r="B33" s="19" t="n"/>
      <c r="C33" s="19" t="n"/>
      <c r="D33" s="19" t="n"/>
      <c r="E33" s="19" t="n"/>
      <c r="F33" s="19" t="n"/>
      <c r="G33" s="19" t="n"/>
      <c r="H33" s="19" t="n"/>
      <c r="I33" s="19" t="n"/>
      <c r="J33" s="19" t="n"/>
      <c r="K33" s="19" t="n"/>
      <c r="L33" s="19" t="n"/>
      <c r="M33" s="19" t="n"/>
      <c r="N33" s="19" t="n"/>
    </row>
    <row r="34" ht="25" customHeight="1">
      <c r="A34" s="3" t="inlineStr">
        <is>
          <t>Ratio de Liquidez / Refinanciación</t>
        </is>
      </c>
      <c r="B34" s="3" t="inlineStr">
        <is>
          <t>Definición / Fórmula Contable</t>
        </is>
      </c>
      <c r="C34" s="5" t="inlineStr">
        <is>
          <t>Parámetro de Solvencia Inmediata</t>
        </is>
      </c>
      <c r="D34" s="4" t="inlineStr">
        <is>
          <t>LTM</t>
        </is>
      </c>
      <c r="E34" s="5" t="inlineStr">
        <is>
          <t>FY2025</t>
        </is>
      </c>
      <c r="F34" s="5" t="inlineStr">
        <is>
          <t>FY2024</t>
        </is>
      </c>
      <c r="G34" s="5" t="inlineStr">
        <is>
          <t>FY2023</t>
        </is>
      </c>
      <c r="H34" s="5" t="inlineStr">
        <is>
          <t>FY2022</t>
        </is>
      </c>
      <c r="I34" s="5" t="inlineStr">
        <is>
          <t>FY2021</t>
        </is>
      </c>
      <c r="J34" s="5" t="inlineStr">
        <is>
          <t>FY2020</t>
        </is>
      </c>
      <c r="K34" s="5" t="inlineStr">
        <is>
          <t>FY2019</t>
        </is>
      </c>
      <c r="L34" s="5" t="inlineStr">
        <is>
          <t>FY2018</t>
        </is>
      </c>
      <c r="M34" s="5" t="inlineStr">
        <is>
          <t>FY2017</t>
        </is>
      </c>
      <c r="N34" s="5" t="inlineStr">
        <is>
          <t>FY2016</t>
        </is>
      </c>
    </row>
    <row r="35" ht="18.5" customHeight="1">
      <c r="A35" s="6" t="inlineStr">
        <is>
          <t>(+) Caja y Equivalentes ($M) [Cash &amp; ST Investments]</t>
        </is>
      </c>
      <c r="B35" s="35" t="inlineStr">
        <is>
          <t>Efectivo Disponible Inmediato</t>
        </is>
      </c>
      <c r="C35" s="73" t="inlineStr">
        <is>
          <t>Tesorería Líquida</t>
        </is>
      </c>
      <c r="D35" s="74" t="n">
        <v>3649</v>
      </c>
      <c r="E35" s="74" t="n">
        <v>3670</v>
      </c>
      <c r="F35" s="74" t="n">
        <v>2635</v>
      </c>
      <c r="G35" s="74" t="n">
        <v>2556</v>
      </c>
      <c r="H35" s="74" t="n">
        <v>1910</v>
      </c>
      <c r="I35" s="74" t="n">
        <v>2584.6</v>
      </c>
      <c r="J35" s="74" t="n">
        <v>1856.4</v>
      </c>
      <c r="K35" s="74" t="n">
        <v>1384.7</v>
      </c>
      <c r="L35" s="74" t="n">
        <v>440.3</v>
      </c>
      <c r="M35" s="74" t="n">
        <v>388.3</v>
      </c>
      <c r="N35" s="74" t="n">
        <v>234.1</v>
      </c>
    </row>
    <row r="36" ht="18.5" customHeight="1">
      <c r="A36" s="6" t="inlineStr">
        <is>
          <t>(+) Cuentas por Cobrar a Clientes ($M) [Receivables]</t>
        </is>
      </c>
      <c r="B36" s="35" t="inlineStr">
        <is>
          <t>Créditos Comerciales Pendientes</t>
        </is>
      </c>
      <c r="C36" s="73" t="inlineStr">
        <is>
          <t>Cobro &lt; 90 días</t>
        </is>
      </c>
      <c r="D36" s="74" t="n">
        <v>418</v>
      </c>
      <c r="E36" s="74" t="n">
        <v>369</v>
      </c>
      <c r="F36" s="74" t="n">
        <v>255</v>
      </c>
      <c r="G36" s="74" t="n">
        <v>156</v>
      </c>
      <c r="H36" s="74" t="n">
        <v>130</v>
      </c>
      <c r="I36" s="74" t="n">
        <v>98.2</v>
      </c>
      <c r="J36" s="74" t="n">
        <v>49.7</v>
      </c>
      <c r="K36" s="74" t="n">
        <v>35.4</v>
      </c>
      <c r="L36" s="74" t="n">
        <v>35.2</v>
      </c>
      <c r="M36" s="74" t="n">
        <v>28.2</v>
      </c>
      <c r="N36" s="74" t="n">
        <v>25.4</v>
      </c>
    </row>
    <row r="37" ht="18.5" customHeight="1">
      <c r="A37" s="6" t="inlineStr">
        <is>
          <t>(-) Pasivo Corriente ($M) [Current Liabilities]</t>
        </is>
      </c>
      <c r="B37" s="35" t="inlineStr">
        <is>
          <t>Obligaciones Exigibles &lt; 12 meses</t>
        </is>
      </c>
      <c r="C37" s="73" t="inlineStr">
        <is>
          <t>Deuda Corto Plazo</t>
        </is>
      </c>
      <c r="D37" s="74" t="n">
        <v>36372</v>
      </c>
      <c r="E37" s="74" t="n">
        <v>28633</v>
      </c>
      <c r="F37" s="74" t="n">
        <v>16603</v>
      </c>
      <c r="G37" s="74" t="n">
        <v>11297</v>
      </c>
      <c r="H37" s="74" t="n">
        <v>8562</v>
      </c>
      <c r="I37" s="74" t="n">
        <v>5836.7</v>
      </c>
      <c r="J37" s="74" t="n">
        <v>3635.9</v>
      </c>
      <c r="K37" s="74" t="n">
        <v>1752.3</v>
      </c>
      <c r="L37" s="74" t="n">
        <v>1166.2</v>
      </c>
      <c r="M37" s="74" t="n">
        <v>968</v>
      </c>
      <c r="N37" s="74" t="n">
        <v>576.6</v>
      </c>
    </row>
    <row r="38" ht="18.5" customHeight="1">
      <c r="A38" s="6" t="inlineStr">
        <is>
          <t>Ratio de Liquidez Inmediata (Cash Ratio)</t>
        </is>
      </c>
      <c r="B38" s="35" t="inlineStr">
        <is>
          <t>Caja / Pasivo Corriente</t>
        </is>
      </c>
      <c r="C38" s="73" t="inlineStr">
        <is>
          <t>Óptimo: &gt; 0.50x | Alerta: &lt; 0.20x</t>
        </is>
      </c>
      <c r="D38" s="106" t="n">
        <v>0.1</v>
      </c>
      <c r="E38" s="106" t="n">
        <v>0.13</v>
      </c>
      <c r="F38" s="106" t="n">
        <v>0.16</v>
      </c>
      <c r="G38" s="106" t="n">
        <v>0.23</v>
      </c>
      <c r="H38" s="106" t="n">
        <v>0.22</v>
      </c>
      <c r="I38" s="106" t="n">
        <v>0.44</v>
      </c>
      <c r="J38" s="106" t="n">
        <v>0.51</v>
      </c>
      <c r="K38" s="106" t="n">
        <v>0.79</v>
      </c>
      <c r="L38" s="106" t="n">
        <v>0.38</v>
      </c>
      <c r="M38" s="106" t="n">
        <v>0.4</v>
      </c>
      <c r="N38" s="106" t="n">
        <v>0.41</v>
      </c>
    </row>
    <row r="39" ht="18.5" customHeight="1">
      <c r="A39" s="12" t="inlineStr">
        <is>
          <t>Test Ácido / Quick Ratio (Caja + AR / Pasivo Corr.)</t>
        </is>
      </c>
      <c r="B39" s="94" t="inlineStr">
        <is>
          <t>(Caja + Cobros) / Pasivo Corriente</t>
        </is>
      </c>
      <c r="C39" s="95" t="inlineStr">
        <is>
          <t>Óptimo: &gt; 1.20x | Alerta: &lt; 0.80x</t>
        </is>
      </c>
      <c r="D39" s="107" t="n">
        <v>0.11</v>
      </c>
      <c r="E39" s="107" t="n">
        <v>0.14</v>
      </c>
      <c r="F39" s="107" t="n">
        <v>0.17</v>
      </c>
      <c r="G39" s="107" t="n">
        <v>0.24</v>
      </c>
      <c r="H39" s="107" t="n">
        <v>0.24</v>
      </c>
      <c r="I39" s="107" t="n">
        <v>0.46</v>
      </c>
      <c r="J39" s="107" t="n">
        <v>0.52</v>
      </c>
      <c r="K39" s="108" t="n">
        <v>0.8100000000000001</v>
      </c>
      <c r="L39" s="107" t="n">
        <v>0.41</v>
      </c>
      <c r="M39" s="107" t="n">
        <v>0.43</v>
      </c>
      <c r="N39" s="107" t="n">
        <v>0.45</v>
      </c>
    </row>
    <row r="40" ht="18.5" customHeight="1">
      <c r="A40" s="6" t="inlineStr">
        <is>
          <t>Ratio Corriente / Current Ratio (Act. Corr. / Pas. Corr.)</t>
        </is>
      </c>
      <c r="B40" s="35" t="inlineStr">
        <is>
          <t>Activo Corriente / Pasivo Corriente</t>
        </is>
      </c>
      <c r="C40" s="73" t="inlineStr">
        <is>
          <t>Óptimo: &gt; 1.50x | Alerta: &lt; 1.00x</t>
        </is>
      </c>
      <c r="D40" s="106" t="n">
        <v>1.12</v>
      </c>
      <c r="E40" s="106" t="n">
        <v>1.17</v>
      </c>
      <c r="F40" s="106" t="n">
        <v>1.21</v>
      </c>
      <c r="G40" s="106" t="n">
        <v>1.27</v>
      </c>
      <c r="H40" s="106" t="n">
        <v>1.28</v>
      </c>
      <c r="I40" s="106" t="n">
        <v>1.4</v>
      </c>
      <c r="J40" s="106" t="n">
        <v>1.47</v>
      </c>
      <c r="K40" s="106" t="n">
        <v>2.16</v>
      </c>
      <c r="L40" s="106" t="n">
        <v>1.3</v>
      </c>
      <c r="M40" s="106" t="n">
        <v>1.33</v>
      </c>
      <c r="N40" s="106" t="n">
        <v>1.51</v>
      </c>
    </row>
    <row r="41" ht="18.5" customHeight="1">
      <c r="A41" s="6" t="inlineStr">
        <is>
          <t>Deuda Financiera a Corto Plazo ($M) [ST Debt]</t>
        </is>
      </c>
      <c r="B41" s="35" t="inlineStr">
        <is>
          <t>Vencimientos de Deuda &lt; 1 Año</t>
        </is>
      </c>
      <c r="C41" s="73" t="inlineStr">
        <is>
          <t>Exigibilidad Inmediata</t>
        </is>
      </c>
      <c r="D41" s="74" t="n">
        <v>0</v>
      </c>
      <c r="E41" s="74" t="n">
        <v>0</v>
      </c>
      <c r="F41" s="74" t="n">
        <v>0</v>
      </c>
      <c r="G41" s="74" t="n">
        <v>0</v>
      </c>
      <c r="H41" s="74" t="n">
        <v>0</v>
      </c>
      <c r="I41" s="74" t="n">
        <v>0</v>
      </c>
      <c r="J41" s="74" t="n">
        <v>0</v>
      </c>
      <c r="K41" s="74" t="n">
        <v>0</v>
      </c>
      <c r="L41" s="74" t="n">
        <v>0</v>
      </c>
      <c r="M41" s="74" t="n">
        <v>0</v>
      </c>
      <c r="N41" s="74" t="n">
        <v>0</v>
      </c>
    </row>
    <row r="42" ht="18.5" customHeight="1">
      <c r="A42" s="88" t="inlineStr">
        <is>
          <t>Riesgo de Refinanciación (% Deuda Corto Plazo / Total)</t>
        </is>
      </c>
      <c r="B42" s="97" t="inlineStr">
        <is>
          <t>(Deuda CP / Deuda Total) * 100</t>
        </is>
      </c>
      <c r="C42" s="98" t="inlineStr">
        <is>
          <t>Óptimo: &lt; 25.0% | Alerta: &gt; 50.0%</t>
        </is>
      </c>
      <c r="D42" s="76" t="n">
        <v>0</v>
      </c>
      <c r="E42" s="76" t="n">
        <v>0</v>
      </c>
      <c r="F42" s="76" t="n">
        <v>0</v>
      </c>
      <c r="G42" s="76" t="n">
        <v>0</v>
      </c>
      <c r="H42" s="76" t="n">
        <v>0</v>
      </c>
      <c r="I42" s="76" t="n">
        <v>0</v>
      </c>
      <c r="J42" s="76" t="n">
        <v>0</v>
      </c>
      <c r="K42" s="76" t="n">
        <v>0</v>
      </c>
      <c r="L42" s="76" t="n">
        <v>0</v>
      </c>
      <c r="M42" s="76" t="n">
        <v>0</v>
      </c>
      <c r="N42" s="76" t="n">
        <v>0</v>
      </c>
    </row>
    <row r="43" ht="22" customHeight="1">
      <c r="A43" s="42" t="inlineStr">
        <is>
          <t>Diagnóstico de Liquidez y Refinanciación</t>
        </is>
      </c>
      <c r="B43" s="35" t="inlineStr">
        <is>
          <t>Salud de Tesorería y Calendario de Deuda</t>
        </is>
      </c>
      <c r="C43" s="73" t="inlineStr">
        <is>
          <t>Riesgo de Liquidez</t>
        </is>
      </c>
      <c r="D43" s="65" t="inlineStr">
        <is>
          <t>LIQUIDEZ AJUSTADA</t>
        </is>
      </c>
      <c r="E43" s="65" t="inlineStr">
        <is>
          <t>LIQUIDEZ AJUSTADA</t>
        </is>
      </c>
      <c r="F43" s="65" t="inlineStr">
        <is>
          <t>LIQUIDEZ AJUSTADA</t>
        </is>
      </c>
      <c r="G43" s="65" t="inlineStr">
        <is>
          <t>LIQUIDEZ AJUSTADA</t>
        </is>
      </c>
      <c r="H43" s="65" t="inlineStr">
        <is>
          <t>LIQUIDEZ AJUSTADA</t>
        </is>
      </c>
      <c r="I43" s="65" t="inlineStr">
        <is>
          <t>LIQUIDEZ AJUSTADA</t>
        </is>
      </c>
      <c r="J43" s="65" t="inlineStr">
        <is>
          <t>LIQUIDEZ AJUSTADA</t>
        </is>
      </c>
      <c r="K43" s="100" t="inlineStr">
        <is>
          <t>EQUILIBRADA</t>
        </is>
      </c>
      <c r="L43" s="65" t="inlineStr">
        <is>
          <t>LIQUIDEZ AJUSTADA</t>
        </is>
      </c>
      <c r="M43" s="65" t="inlineStr">
        <is>
          <t>LIQUIDEZ AJUSTADA</t>
        </is>
      </c>
      <c r="N43" s="65" t="inlineStr">
        <is>
          <t>LIQUIDEZ AJUSTADA</t>
        </is>
      </c>
    </row>
    <row r="44" ht="56" customHeight="1">
      <c r="A44" s="78" t="inlineStr">
        <is>
          <t>Diagnóstico de Liquidez (LTM): Quick ratio de 0.11x. Típico en empresas con poder de negociación que financian operaciones con proveedores (Working Capital negativo).</t>
        </is>
      </c>
      <c r="B44" s="31" t="n"/>
      <c r="C44" s="31" t="n"/>
      <c r="D44" s="31" t="n"/>
      <c r="E44" s="31" t="n"/>
      <c r="F44" s="31" t="n"/>
      <c r="G44" s="31" t="n"/>
      <c r="H44" s="31" t="n"/>
      <c r="I44" s="31" t="n"/>
      <c r="J44" s="31" t="n"/>
      <c r="K44" s="31" t="n"/>
      <c r="L44" s="31" t="n"/>
      <c r="M44" s="31" t="n"/>
      <c r="N44" s="31" t="n"/>
    </row>
    <row r="45" ht="10" customHeight="1"/>
    <row r="46" ht="22" customHeight="1">
      <c r="A46" s="18" t="inlineStr">
        <is>
          <t>TABLA 4: MODELOS PREDICTIVOS DE QUIEBRA Y RATING SINTÉTICO (ALTMAN Z'' &amp; DAMODARAN)</t>
        </is>
      </c>
      <c r="B46" s="19" t="n"/>
      <c r="C46" s="19" t="n"/>
      <c r="D46" s="19" t="n"/>
      <c r="E46" s="19" t="n"/>
      <c r="F46" s="19" t="n"/>
      <c r="G46" s="19" t="n"/>
      <c r="H46" s="19" t="n"/>
      <c r="I46" s="19" t="n"/>
      <c r="J46" s="19" t="n"/>
      <c r="K46" s="19" t="n"/>
      <c r="L46" s="19" t="n"/>
      <c r="M46" s="19" t="n"/>
      <c r="N46" s="19" t="n"/>
    </row>
    <row r="47" ht="25" customHeight="1">
      <c r="A47" s="3" t="inlineStr">
        <is>
          <t>Modelo / Métrica de Estrés e Insolvencia</t>
        </is>
      </c>
      <c r="B47" s="3" t="inlineStr">
        <is>
          <t>Definición / Fórmula Econométrica</t>
        </is>
      </c>
      <c r="C47" s="5" t="inlineStr">
        <is>
          <t>Clasificación de Riesgo Crediticio</t>
        </is>
      </c>
      <c r="D47" s="4" t="inlineStr">
        <is>
          <t>LTM</t>
        </is>
      </c>
      <c r="E47" s="5" t="inlineStr">
        <is>
          <t>FY2025</t>
        </is>
      </c>
      <c r="F47" s="5" t="inlineStr">
        <is>
          <t>FY2024</t>
        </is>
      </c>
      <c r="G47" s="5" t="inlineStr">
        <is>
          <t>FY2023</t>
        </is>
      </c>
      <c r="H47" s="5" t="inlineStr">
        <is>
          <t>FY2022</t>
        </is>
      </c>
      <c r="I47" s="5" t="inlineStr">
        <is>
          <t>FY2021</t>
        </is>
      </c>
      <c r="J47" s="5" t="inlineStr">
        <is>
          <t>FY2020</t>
        </is>
      </c>
      <c r="K47" s="5" t="inlineStr">
        <is>
          <t>FY2019</t>
        </is>
      </c>
      <c r="L47" s="5" t="inlineStr">
        <is>
          <t>FY2018</t>
        </is>
      </c>
      <c r="M47" s="5" t="inlineStr">
        <is>
          <t>FY2017</t>
        </is>
      </c>
      <c r="N47" s="5" t="inlineStr">
        <is>
          <t>FY2016</t>
        </is>
      </c>
    </row>
    <row r="48" ht="18.5" customHeight="1">
      <c r="A48" s="6" t="inlineStr">
        <is>
          <t>Componente X1: Fondo de Maniobra / Activos</t>
        </is>
      </c>
      <c r="B48" s="35" t="inlineStr">
        <is>
          <t>(Activo Corriente - Pasivo Corriente) / Activos</t>
        </is>
      </c>
      <c r="C48" s="73" t="inlineStr">
        <is>
          <t>Liquidez Relativa de Balance</t>
        </is>
      </c>
      <c r="D48" s="109" t="n">
        <v>0.0859</v>
      </c>
      <c r="E48" s="109" t="n">
        <v>0.1158</v>
      </c>
      <c r="F48" s="109" t="n">
        <v>0.1405</v>
      </c>
      <c r="G48" s="109" t="n">
        <v>0.1698</v>
      </c>
      <c r="H48" s="109" t="n">
        <v>0.1741</v>
      </c>
      <c r="I48" s="109" t="n">
        <v>0.2315</v>
      </c>
      <c r="J48" s="109" t="n">
        <v>0.2622</v>
      </c>
      <c r="K48" s="109" t="n">
        <v>0.4259</v>
      </c>
      <c r="L48" s="109" t="n">
        <v>0.154</v>
      </c>
      <c r="M48" s="109" t="n">
        <v>0.1906</v>
      </c>
      <c r="N48" s="109" t="n">
        <v>0.2142</v>
      </c>
    </row>
    <row r="49" ht="18.5" customHeight="1">
      <c r="A49" s="6" t="inlineStr">
        <is>
          <t>Componente X2: Resultados Acumulados / Activos</t>
        </is>
      </c>
      <c r="B49" s="35" t="inlineStr">
        <is>
          <t>Retained Earnings / Activos Totales</t>
        </is>
      </c>
      <c r="C49" s="73" t="inlineStr">
        <is>
          <t>Autofinanciación Histórica</t>
        </is>
      </c>
      <c r="D49" s="109" t="n">
        <v>0.1303</v>
      </c>
      <c r="E49" s="109" t="n">
        <v>0.1361</v>
      </c>
      <c r="F49" s="109" t="n">
        <v>0.1513</v>
      </c>
      <c r="G49" s="109" t="n">
        <v>0.1077</v>
      </c>
      <c r="H49" s="109" t="n">
        <v>0.0665</v>
      </c>
      <c r="I49" s="109" t="n">
        <v>0.0393</v>
      </c>
      <c r="J49" s="109" t="n">
        <v>0.0481</v>
      </c>
      <c r="K49" s="109" t="n">
        <v>0.0675</v>
      </c>
      <c r="L49" s="109" t="n">
        <v>0.2248</v>
      </c>
      <c r="M49" s="109" t="n">
        <v>0.3215</v>
      </c>
      <c r="N49" s="109" t="n">
        <v>0.4027</v>
      </c>
    </row>
    <row r="50" ht="18.5" customHeight="1">
      <c r="A50" s="6" t="inlineStr">
        <is>
          <t>Componente X3: EBIT / Activos Totales</t>
        </is>
      </c>
      <c r="B50" s="35" t="inlineStr">
        <is>
          <t>Beneficio Operativo / Activos Totales</t>
        </is>
      </c>
      <c r="C50" s="73" t="inlineStr">
        <is>
          <t>Productividad Pura de Activos</t>
        </is>
      </c>
      <c r="D50" s="109" t="n">
        <v>0.0566</v>
      </c>
      <c r="E50" s="109" t="n">
        <v>0.075</v>
      </c>
      <c r="F50" s="109" t="n">
        <v>0.1044</v>
      </c>
      <c r="G50" s="109" t="n">
        <v>0.1033</v>
      </c>
      <c r="H50" s="109" t="n">
        <v>0.07530000000000001</v>
      </c>
      <c r="I50" s="109" t="n">
        <v>0.0436</v>
      </c>
      <c r="J50" s="109" t="n">
        <v>0.0196</v>
      </c>
      <c r="K50" s="109" t="n">
        <v>-0.032</v>
      </c>
      <c r="L50" s="109" t="n">
        <v>-0.031</v>
      </c>
      <c r="M50" s="109" t="n">
        <v>0.0336</v>
      </c>
      <c r="N50" s="109" t="n">
        <v>0.1324</v>
      </c>
    </row>
    <row r="51" ht="18.5" customHeight="1">
      <c r="A51" s="6" t="inlineStr">
        <is>
          <t>Componente X4: Patrimonio Neto / Pasivos Totales</t>
        </is>
      </c>
      <c r="B51" s="35" t="inlineStr">
        <is>
          <t>Stockholders' Equity / Total Liabilities</t>
        </is>
      </c>
      <c r="C51" s="73" t="inlineStr">
        <is>
          <t>Colchón de Solvencia Patrimonial</t>
        </is>
      </c>
      <c r="D51" s="109" t="n">
        <v>0.18</v>
      </c>
      <c r="E51" s="109" t="n">
        <v>0.1879</v>
      </c>
      <c r="F51" s="109" t="n">
        <v>0.2087</v>
      </c>
      <c r="G51" s="109" t="n">
        <v>0.2107</v>
      </c>
      <c r="H51" s="109" t="n">
        <v>0.1534</v>
      </c>
      <c r="I51" s="109" t="n">
        <v>0.1787</v>
      </c>
      <c r="J51" s="109" t="n">
        <v>0.3388</v>
      </c>
      <c r="K51" s="109" t="n">
        <v>0.7346</v>
      </c>
      <c r="L51" s="109" t="n">
        <v>0.1769</v>
      </c>
      <c r="M51" s="109" t="n">
        <v>0.2418</v>
      </c>
      <c r="N51" s="109" t="n">
        <v>0.4569</v>
      </c>
    </row>
    <row r="52" ht="18.5" customHeight="1">
      <c r="A52" s="88" t="inlineStr">
        <is>
          <t>(=) ALTMAN Z''-SCORE TOTAL (Modelo 4 Variables)</t>
        </is>
      </c>
      <c r="B52" s="97" t="inlineStr">
        <is>
          <t>6.56*X1 + 3.26*X2 + 6.72*X3 + 1.05*X4</t>
        </is>
      </c>
      <c r="C52" s="98" t="inlineStr">
        <is>
          <t>Segura: &gt; 2.60 | Distress: &lt; 1.10</t>
        </is>
      </c>
      <c r="D52" s="110" t="n">
        <v>1.56</v>
      </c>
      <c r="E52" s="110" t="n">
        <v>1.9</v>
      </c>
      <c r="F52" s="110" t="n">
        <v>2.34</v>
      </c>
      <c r="G52" s="110" t="n">
        <v>2.38</v>
      </c>
      <c r="H52" s="110" t="n">
        <v>2.03</v>
      </c>
      <c r="I52" s="110" t="n">
        <v>2.13</v>
      </c>
      <c r="J52" s="110" t="n">
        <v>2.36</v>
      </c>
      <c r="K52" s="110" t="n">
        <v>3.57</v>
      </c>
      <c r="L52" s="110" t="n">
        <v>1.72</v>
      </c>
      <c r="M52" s="110" t="n">
        <v>2.78</v>
      </c>
      <c r="N52" s="110" t="n">
        <v>4.09</v>
      </c>
    </row>
    <row r="53" ht="18.5" customHeight="1">
      <c r="A53" s="42" t="inlineStr">
        <is>
          <t>Zona de Riesgo de Quiebra Altman</t>
        </is>
      </c>
      <c r="B53" s="35" t="inlineStr">
        <is>
          <t>Dictamen Econométrico de Insolvencia</t>
        </is>
      </c>
      <c r="C53" s="73" t="inlineStr">
        <is>
          <t>Probabilidad de Default a 2 Años</t>
        </is>
      </c>
      <c r="D53" s="65" t="inlineStr">
        <is>
          <t>ZONA GRIS (PRECAUCIÓN Y SEGUIMIENTO)</t>
        </is>
      </c>
      <c r="E53" s="65" t="inlineStr">
        <is>
          <t>ZONA GRIS (PRECAUCIÓN Y SEGUIMIENTO)</t>
        </is>
      </c>
      <c r="F53" s="65" t="inlineStr">
        <is>
          <t>ZONA GRIS (PRECAUCIÓN Y SEGUIMIENTO)</t>
        </is>
      </c>
      <c r="G53" s="65" t="inlineStr">
        <is>
          <t>ZONA GRIS (PRECAUCIÓN Y SEGUIMIENTO)</t>
        </is>
      </c>
      <c r="H53" s="65" t="inlineStr">
        <is>
          <t>ZONA GRIS (PRECAUCIÓN Y SEGUIMIENTO)</t>
        </is>
      </c>
      <c r="I53" s="65" t="inlineStr">
        <is>
          <t>ZONA GRIS (PRECAUCIÓN Y SEGUIMIENTO)</t>
        </is>
      </c>
      <c r="J53" s="65" t="inlineStr">
        <is>
          <t>ZONA GRIS (PRECAUCIÓN Y SEGUIMIENTO)</t>
        </is>
      </c>
      <c r="K53" s="77" t="inlineStr">
        <is>
          <t>ZONA SEGURA (BAJO RIESGO DE QUIEBRA)</t>
        </is>
      </c>
      <c r="L53" s="65" t="inlineStr">
        <is>
          <t>ZONA GRIS (PRECAUCIÓN Y SEGUIMIENTO)</t>
        </is>
      </c>
      <c r="M53" s="77" t="inlineStr">
        <is>
          <t>ZONA SEGURA (BAJO RIESGO DE QUIEBRA)</t>
        </is>
      </c>
      <c r="N53" s="77" t="inlineStr">
        <is>
          <t>ZONA SEGURA (BAJO RIESGO DE QUIEBRA)</t>
        </is>
      </c>
    </row>
    <row r="54" ht="18.5" customHeight="1">
      <c r="A54" s="88" t="inlineStr">
        <is>
          <t>(=) Rating Crediticio Sintético (Damodaran)</t>
        </is>
      </c>
      <c r="B54" s="97" t="inlineStr">
        <is>
          <t>Equivalencia S&amp;P / Moody's según Cobertura</t>
        </is>
      </c>
      <c r="C54" s="98" t="inlineStr">
        <is>
          <t>Grado de Inversión (AAA a BBB-)</t>
        </is>
      </c>
      <c r="D54" s="90" t="inlineStr">
        <is>
          <t>A</t>
        </is>
      </c>
      <c r="E54" s="90" t="inlineStr">
        <is>
          <t>A</t>
        </is>
      </c>
      <c r="F54" s="90" t="inlineStr">
        <is>
          <t>A+</t>
        </is>
      </c>
      <c r="G54" s="90" t="inlineStr">
        <is>
          <t>A-</t>
        </is>
      </c>
      <c r="H54" s="90" t="inlineStr">
        <is>
          <t>A-</t>
        </is>
      </c>
      <c r="I54" s="92" t="inlineStr">
        <is>
          <t>AAA</t>
        </is>
      </c>
      <c r="J54" s="92" t="inlineStr">
        <is>
          <t>AAA</t>
        </is>
      </c>
      <c r="K54" s="92" t="inlineStr">
        <is>
          <t>AAA</t>
        </is>
      </c>
      <c r="L54" s="92" t="inlineStr">
        <is>
          <t>AAA</t>
        </is>
      </c>
      <c r="M54" s="92" t="inlineStr">
        <is>
          <t>AAA</t>
        </is>
      </c>
      <c r="N54" s="92" t="inlineStr">
        <is>
          <t>AAA</t>
        </is>
      </c>
    </row>
    <row r="55" ht="18.5" customHeight="1">
      <c r="A55" s="6" t="inlineStr">
        <is>
          <t>Calificación Detallada del Emisor</t>
        </is>
      </c>
      <c r="B55" s="35" t="inlineStr">
        <is>
          <t>Descripción Institucional del Rating</t>
        </is>
      </c>
      <c r="C55" s="73" t="inlineStr">
        <is>
          <t>Categoría de Calidad Crediticia</t>
        </is>
      </c>
      <c r="D55" s="56" t="inlineStr">
        <is>
          <t>SOLVENCIA BUENA (A / A2)</t>
        </is>
      </c>
      <c r="E55" s="56" t="inlineStr">
        <is>
          <t>SOLVENCIA BUENA (A / A2)</t>
        </is>
      </c>
      <c r="F55" s="56" t="inlineStr">
        <is>
          <t>SOLVENCIA ROBUSTA (A+ / A1)</t>
        </is>
      </c>
      <c r="G55" s="56" t="inlineStr">
        <is>
          <t>SOLVENCIA SATISFACTORIA (A- / A3)</t>
        </is>
      </c>
      <c r="H55" s="56" t="inlineStr">
        <is>
          <t>SOLVENCIA SATISFACTORIA (A- / A3)</t>
        </is>
      </c>
      <c r="I55" s="56" t="inlineStr">
        <is>
          <t>MÁXIMA CALIDAD CREDITICIA (LIBRE DE DEUDA)</t>
        </is>
      </c>
      <c r="J55" s="56" t="inlineStr">
        <is>
          <t>MÁXIMA CALIDAD CREDITICIA (LIBRE DE DEUDA)</t>
        </is>
      </c>
      <c r="K55" s="56" t="inlineStr">
        <is>
          <t>MÁXIMA CALIDAD CREDITICIA (LIBRE DE DEUDA)</t>
        </is>
      </c>
      <c r="L55" s="56" t="inlineStr">
        <is>
          <t>MÁXIMA CALIDAD CREDITICIA (LIBRE DE DEUDA)</t>
        </is>
      </c>
      <c r="M55" s="56" t="inlineStr">
        <is>
          <t>MÁXIMA CALIDAD CREDITICIA (LIBRE DE DEUDA)</t>
        </is>
      </c>
      <c r="N55" s="56" t="inlineStr">
        <is>
          <t>MÁXIMA CALIDAD CREDITICIA (LIBRE DE DEUDA)</t>
        </is>
      </c>
    </row>
    <row r="56" ht="18.5" customHeight="1">
      <c r="A56" s="6" t="inlineStr">
        <is>
          <t>Diferencial de Crédito Teórico (Spread %)</t>
        </is>
      </c>
      <c r="B56" s="35" t="inlineStr">
        <is>
          <t>Spread Estimado sobre Tipo Libre de Riesgo</t>
        </is>
      </c>
      <c r="C56" s="73" t="inlineStr">
        <is>
          <t>Coste de Financiación Marginal</t>
        </is>
      </c>
      <c r="D56" s="20" t="n">
        <v>0.013</v>
      </c>
      <c r="E56" s="20" t="n">
        <v>0.013</v>
      </c>
      <c r="F56" s="20" t="n">
        <v>0.011</v>
      </c>
      <c r="G56" s="20" t="n">
        <v>0.015</v>
      </c>
      <c r="H56" s="20" t="n">
        <v>0.015</v>
      </c>
      <c r="I56" s="20" t="n">
        <v>0.004</v>
      </c>
      <c r="J56" s="20" t="n">
        <v>0.004</v>
      </c>
      <c r="K56" s="20" t="n">
        <v>0.004</v>
      </c>
      <c r="L56" s="20" t="n">
        <v>0.004</v>
      </c>
      <c r="M56" s="20" t="n">
        <v>0.004</v>
      </c>
      <c r="N56" s="20" t="n">
        <v>0.004</v>
      </c>
    </row>
    <row r="57" ht="18.5" customHeight="1">
      <c r="A57" s="6" t="inlineStr">
        <is>
          <t>Probabilidad Estadística de Default (%)</t>
        </is>
      </c>
      <c r="B57" s="35" t="inlineStr">
        <is>
          <t>Frecuencia Histórica de Impago Acumulada</t>
        </is>
      </c>
      <c r="C57" s="73" t="inlineStr">
        <is>
          <t>Estadística S&amp;P a 10 Años</t>
        </is>
      </c>
      <c r="D57" s="56" t="inlineStr">
        <is>
          <t>0.7%</t>
        </is>
      </c>
      <c r="E57" s="56" t="inlineStr">
        <is>
          <t>0.7%</t>
        </is>
      </c>
      <c r="F57" s="56" t="inlineStr">
        <is>
          <t>0.5%</t>
        </is>
      </c>
      <c r="G57" s="56" t="inlineStr">
        <is>
          <t>1.0%</t>
        </is>
      </c>
      <c r="H57" s="56" t="inlineStr">
        <is>
          <t>1.0%</t>
        </is>
      </c>
      <c r="I57" s="56" t="inlineStr">
        <is>
          <t>&lt; 0.1%</t>
        </is>
      </c>
      <c r="J57" s="56" t="inlineStr">
        <is>
          <t>&lt; 0.1%</t>
        </is>
      </c>
      <c r="K57" s="56" t="inlineStr">
        <is>
          <t>&lt; 0.1%</t>
        </is>
      </c>
      <c r="L57" s="56" t="inlineStr">
        <is>
          <t>&lt; 0.1%</t>
        </is>
      </c>
      <c r="M57" s="56" t="inlineStr">
        <is>
          <t>&lt; 0.1%</t>
        </is>
      </c>
      <c r="N57" s="56" t="inlineStr">
        <is>
          <t>&lt; 0.1%</t>
        </is>
      </c>
    </row>
  </sheetData>
  <mergeCells count="4">
    <mergeCell ref="B5:N5"/>
    <mergeCell ref="A20:N20"/>
    <mergeCell ref="A31:N31"/>
    <mergeCell ref="A44:N44"/>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4"/>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18" customWidth="1" min="3" max="3"/>
    <col width="18" customWidth="1" min="4" max="4"/>
    <col width="18" customWidth="1" min="5" max="5"/>
    <col width="18" customWidth="1" min="6" max="6"/>
    <col width="18" customWidth="1" min="7" max="7"/>
  </cols>
  <sheetData>
    <row r="1" ht="30" customHeight="1">
      <c r="A1" s="1" t="inlineStr">
        <is>
          <t>MERCADOLIBRE INC (MELI) - Conciliación Tripartita de Integridad Contable</t>
        </is>
      </c>
    </row>
    <row r="2" ht="18" customHeight="1">
      <c r="A2" s="2" t="inlineStr">
        <is>
          <t>Cotejo cruzado: SEC EDGAR XBRL (Oficial) vs. SEC Company Facts API vs. Terminales de Mercado (fiscal.ai / Tikr)</t>
        </is>
      </c>
    </row>
    <row r="3" ht="8" customHeight="1"/>
    <row r="4" ht="25" customHeight="1">
      <c r="A4" s="5" t="inlineStr">
        <is>
          <t>Período</t>
        </is>
      </c>
      <c r="B4" s="3" t="inlineStr">
        <is>
          <t>Métrica / Partida Contable</t>
        </is>
      </c>
      <c r="C4" s="111" t="inlineStr">
        <is>
          <t>SEC EDGAR (As-Reported)</t>
        </is>
      </c>
      <c r="D4" s="111" t="inlineStr">
        <is>
          <t>Cifra Ajustada (Split/Norm)</t>
        </is>
      </c>
      <c r="E4" s="111" t="inlineStr">
        <is>
          <t>Mercado (fiscal.ai / Tikr)</t>
        </is>
      </c>
      <c r="F4" s="5" t="inlineStr">
        <is>
          <t>Dictamen de Auditoría</t>
        </is>
      </c>
      <c r="G4" s="3" t="inlineStr">
        <is>
          <t>Trazabilidad &amp; Explicación Matemática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2026-09-22T22:37:21Z</dcterms:created>
  <dcterms:modified xmlns:dcterms="http://purl.org/dc/terms/" xmlns:xsi="http://www.w3.org/2001/XMLSchema-instance" xsi:type="dcterms:W3CDTF">2026-09-22T22:44:53Z</dcterms:modified>
</cp:coreProperties>
</file>