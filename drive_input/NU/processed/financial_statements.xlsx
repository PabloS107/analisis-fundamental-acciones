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Fundamental" sheetId="1" state="visible" r:id="rId1"/>
    <sheet xmlns:r="http://schemas.openxmlformats.org/officeDocument/2006/relationships" name="Ratios Financieros" sheetId="2" state="visible" r:id="rId2"/>
    <sheet xmlns:r="http://schemas.openxmlformats.org/officeDocument/2006/relationships" name="Cuenta de Resultados" sheetId="3" state="visible" r:id="rId3"/>
    <sheet xmlns:r="http://schemas.openxmlformats.org/officeDocument/2006/relationships" name="Balance Patrimonial" sheetId="4" state="visible" r:id="rId4"/>
    <sheet xmlns:r="http://schemas.openxmlformats.org/officeDocument/2006/relationships" name="Flujo de Caja" sheetId="5" state="visible" r:id="rId5"/>
    <sheet xmlns:r="http://schemas.openxmlformats.org/officeDocument/2006/relationships" name="Desglose de Segmentos" sheetId="6" state="visible" r:id="rId6"/>
    <sheet xmlns:r="http://schemas.openxmlformats.org/officeDocument/2006/relationships" name="Scores Fundamentales" sheetId="7" state="visible" r:id="rId7"/>
    <sheet xmlns:r="http://schemas.openxmlformats.org/officeDocument/2006/relationships" name="Peer Group &amp; Medianas" sheetId="8" state="visible" r:id="rId8"/>
    <sheet xmlns:r="http://schemas.openxmlformats.org/officeDocument/2006/relationships" name="Auditoría Forense &amp; Devengos" sheetId="9" state="visible" r:id="rId9"/>
    <sheet xmlns:r="http://schemas.openxmlformats.org/officeDocument/2006/relationships" name="Solvencia &amp; Estrés Financiero" sheetId="10" state="visible" r:id="rId10"/>
    <sheet xmlns:r="http://schemas.openxmlformats.org/officeDocument/2006/relationships" name="Conciliación &amp; Fuentes" sheetId="11" state="visible" r:id="rId11"/>
  </sheets>
  <definedNames/>
  <calcPr calcId="124519" fullCalcOnLoad="1"/>
</workbook>
</file>

<file path=xl/styles.xml><?xml version="1.0" encoding="utf-8"?>
<styleSheet xmlns="http://schemas.openxmlformats.org/spreadsheetml/2006/main">
  <numFmts count="5">
    <numFmt numFmtId="164" formatCode="$#,##0.0;($#,##0.0);&quot;-&quot;"/>
    <numFmt numFmtId="165" formatCode="$#,##0.00;($#,##0.00);&quot;-&quot;"/>
    <numFmt numFmtId="166" formatCode="0.00&quot;x&quot;"/>
    <numFmt numFmtId="167" formatCode="+0.00%;-0.00%;0.00%"/>
    <numFmt numFmtId="168" formatCode="0.0000"/>
  </numFmts>
  <fonts count="10">
    <font>
      <name val="Calibri"/>
      <family val="2"/>
      <color theme="1"/>
      <sz val="11"/>
      <scheme val="minor"/>
    </font>
    <font>
      <name val="Calibri"/>
      <b val="1"/>
      <color rgb="001B365D"/>
      <sz val="14"/>
    </font>
    <font>
      <name val="Calibri"/>
      <i val="1"/>
      <color rgb="00595959"/>
      <sz val="10"/>
    </font>
    <font>
      <name val="Calibri"/>
      <b val="1"/>
      <color rgb="00FFFFFF"/>
      <sz val="11"/>
    </font>
    <font>
      <name val="Calibri"/>
      <color rgb="00000000"/>
      <sz val="11"/>
    </font>
    <font>
      <name val="Calibri"/>
      <b val="1"/>
      <color rgb="00000000"/>
      <sz val="11"/>
    </font>
    <font>
      <name val="Calibri"/>
      <b val="1"/>
      <color rgb="001B365D"/>
      <sz val="11"/>
    </font>
    <font>
      <name val="Calibri"/>
      <b val="1"/>
      <color rgb="001B365D"/>
      <sz val="12"/>
    </font>
    <font>
      <name val="Calibri"/>
      <b val="1"/>
      <color rgb="00276A3C"/>
      <sz val="11"/>
    </font>
    <font>
      <name val="Calibri"/>
      <b val="1"/>
      <color rgb="00C00000"/>
      <sz val="11"/>
    </font>
  </fonts>
  <fills count="8">
    <fill>
      <patternFill/>
    </fill>
    <fill>
      <patternFill patternType="gray125"/>
    </fill>
    <fill>
      <patternFill patternType="solid">
        <fgColor rgb="001B365D"/>
        <bgColor rgb="001B365D"/>
      </patternFill>
    </fill>
    <fill>
      <patternFill patternType="solid">
        <fgColor rgb="00F0F4F9"/>
        <bgColor rgb="00F0F4F9"/>
      </patternFill>
    </fill>
    <fill>
      <patternFill patternType="solid">
        <fgColor rgb="00E2EFDA"/>
        <bgColor rgb="00E2EFDA"/>
      </patternFill>
    </fill>
    <fill>
      <patternFill patternType="solid">
        <fgColor rgb="00E8EEF5"/>
        <bgColor rgb="00E8EEF5"/>
      </patternFill>
    </fill>
    <fill>
      <patternFill patternType="solid">
        <fgColor rgb="00FCE4D6"/>
        <bgColor rgb="00FCE4D6"/>
      </patternFill>
    </fill>
    <fill>
      <patternFill patternType="solid">
        <fgColor rgb="00FFF2CC"/>
        <bgColor rgb="00FFF2CC"/>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thin">
        <color rgb="00000000"/>
      </bottom>
    </border>
    <border>
      <left style="thin">
        <color rgb="00D9D9D9"/>
      </left>
      <right style="thin">
        <color rgb="00D9D9D9"/>
      </right>
      <top style="thin">
        <color rgb="00000000"/>
      </top>
      <bottom style="double">
        <color rgb="00000000"/>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3" fillId="2" borderId="0" applyAlignment="1" pivotButton="0" quotePrefix="0" xfId="0">
      <alignment horizontal="center" vertical="center"/>
    </xf>
    <xf numFmtId="0" fontId="4" fillId="0" borderId="1" pivotButton="0" quotePrefix="0" xfId="0"/>
    <xf numFmtId="164" fontId="4" fillId="0" borderId="1" pivotButton="0" quotePrefix="0" xfId="0"/>
    <xf numFmtId="0" fontId="4" fillId="0" borderId="1" applyAlignment="1" pivotButton="0" quotePrefix="0" xfId="0">
      <alignment horizontal="center"/>
    </xf>
    <xf numFmtId="0" fontId="5" fillId="3" borderId="2" pivotButton="0" quotePrefix="0" xfId="0"/>
    <xf numFmtId="164" fontId="5" fillId="3" borderId="2" pivotButton="0" quotePrefix="0" xfId="0"/>
    <xf numFmtId="0" fontId="5" fillId="3" borderId="2" applyAlignment="1" pivotButton="0" quotePrefix="0" xfId="0">
      <alignment horizontal="center"/>
    </xf>
    <xf numFmtId="0" fontId="5" fillId="4" borderId="2" pivotButton="0" quotePrefix="0" xfId="0"/>
    <xf numFmtId="164" fontId="5" fillId="4" borderId="2" pivotButton="0" quotePrefix="0" xfId="0"/>
    <xf numFmtId="0" fontId="5" fillId="0" borderId="2" pivotButton="0" quotePrefix="0" xfId="0"/>
    <xf numFmtId="164" fontId="5" fillId="0" borderId="2" pivotButton="0" quotePrefix="0" xfId="0"/>
    <xf numFmtId="165" fontId="5" fillId="3" borderId="2" pivotButton="0" quotePrefix="0" xfId="0"/>
    <xf numFmtId="165" fontId="4" fillId="0" borderId="1" pivotButton="0" quotePrefix="0" xfId="0"/>
    <xf numFmtId="0" fontId="5" fillId="0" borderId="2" applyAlignment="1" pivotButton="0" quotePrefix="0" xfId="0">
      <alignment horizontal="center"/>
    </xf>
    <xf numFmtId="0" fontId="6" fillId="5" borderId="0" pivotButton="0" quotePrefix="0" xfId="0"/>
    <xf numFmtId="0" fontId="0" fillId="5" borderId="0" pivotButton="0" quotePrefix="0" xfId="0"/>
    <xf numFmtId="10" fontId="4" fillId="0" borderId="1" applyAlignment="1" pivotButton="0" quotePrefix="0" xfId="0">
      <alignment horizontal="right" vertical="center"/>
    </xf>
    <xf numFmtId="0" fontId="4" fillId="0" borderId="1" applyAlignment="1" pivotButton="0" quotePrefix="0" xfId="0">
      <alignment horizontal="center" vertical="center"/>
    </xf>
    <xf numFmtId="166" fontId="4" fillId="0" borderId="1" applyAlignment="1" pivotButton="0" quotePrefix="0" xfId="0">
      <alignment horizontal="right" vertical="center"/>
    </xf>
    <xf numFmtId="164" fontId="4" fillId="0" borderId="1" applyAlignment="1" pivotButton="0" quotePrefix="0" xfId="0">
      <alignment horizontal="right" vertical="center"/>
    </xf>
    <xf numFmtId="167" fontId="4" fillId="0" borderId="1" applyAlignment="1" pivotButton="0" quotePrefix="0" xfId="0">
      <alignment horizontal="right" vertical="center"/>
    </xf>
    <xf numFmtId="0" fontId="5" fillId="3" borderId="3" pivotButton="0" quotePrefix="0" xfId="0"/>
    <xf numFmtId="164" fontId="5" fillId="3" borderId="3" pivotButton="0" quotePrefix="0" xfId="0"/>
    <xf numFmtId="0" fontId="5" fillId="5" borderId="0" pivotButton="0" quotePrefix="0" xfId="0"/>
    <xf numFmtId="0" fontId="5" fillId="5" borderId="1" applyAlignment="1" pivotButton="0" quotePrefix="0" xfId="0">
      <alignment horizontal="left" vertical="center"/>
    </xf>
    <xf numFmtId="0" fontId="0" fillId="0" borderId="1" pivotButton="0" quotePrefix="0" xfId="0"/>
    <xf numFmtId="0" fontId="5" fillId="0" borderId="0" pivotButton="0" quotePrefix="0" xfId="0"/>
    <xf numFmtId="0" fontId="7" fillId="0" borderId="0" pivotButton="0" quotePrefix="0" xfId="0"/>
    <xf numFmtId="0" fontId="2" fillId="0" borderId="0" applyAlignment="1" pivotButton="0" quotePrefix="0" xfId="0">
      <alignment horizontal="left" vertical="center" wrapText="1"/>
    </xf>
    <xf numFmtId="0" fontId="2" fillId="0" borderId="1" pivotButton="0" quotePrefix="0" xfId="0"/>
    <xf numFmtId="0" fontId="8" fillId="4" borderId="1" applyAlignment="1" pivotButton="0" quotePrefix="0" xfId="0">
      <alignment horizontal="center" vertical="center"/>
    </xf>
    <xf numFmtId="0" fontId="9" fillId="6" borderId="1" applyAlignment="1" pivotButton="0" quotePrefix="0" xfId="0">
      <alignment horizontal="center" vertical="center"/>
    </xf>
    <xf numFmtId="0" fontId="7" fillId="7" borderId="2" applyAlignment="1" pivotButton="0" quotePrefix="0" xfId="0">
      <alignment horizontal="center" vertical="center"/>
    </xf>
    <xf numFmtId="0" fontId="7" fillId="4" borderId="2" applyAlignment="1" pivotButton="0" quotePrefix="0" xfId="0">
      <alignment horizontal="center" vertical="center"/>
    </xf>
    <xf numFmtId="0" fontId="7" fillId="6" borderId="2" applyAlignment="1" pivotButton="0" quotePrefix="0" xfId="0">
      <alignment horizontal="center" vertical="center"/>
    </xf>
    <xf numFmtId="0" fontId="5" fillId="0" borderId="1" applyAlignment="1" pivotButton="0" quotePrefix="0" xfId="0">
      <alignment horizontal="center" vertical="center"/>
    </xf>
    <xf numFmtId="0" fontId="5" fillId="0" borderId="1" pivotButton="0" quotePrefix="0" xfId="0"/>
    <xf numFmtId="167" fontId="5" fillId="0" borderId="1" applyAlignment="1" pivotButton="0" quotePrefix="0" xfId="0">
      <alignment horizontal="right" vertical="center"/>
    </xf>
    <xf numFmtId="10" fontId="5" fillId="4" borderId="1" applyAlignment="1" pivotButton="0" quotePrefix="0" xfId="0">
      <alignment horizontal="right" vertical="center"/>
    </xf>
    <xf numFmtId="10" fontId="5" fillId="0" borderId="1" applyAlignment="1" pivotButton="0" quotePrefix="0" xfId="0">
      <alignment horizontal="right" vertical="center"/>
    </xf>
    <xf numFmtId="167" fontId="5" fillId="6" borderId="1" applyAlignment="1" pivotButton="0" quotePrefix="0" xfId="0">
      <alignment horizontal="right" vertical="center"/>
    </xf>
    <xf numFmtId="0" fontId="7" fillId="0" borderId="1" pivotButton="0" quotePrefix="0" xfId="0"/>
    <xf numFmtId="0" fontId="2" fillId="5" borderId="0" pivotButton="0" quotePrefix="0" xfId="0"/>
    <xf numFmtId="0" fontId="3" fillId="2" borderId="0" applyAlignment="1" pivotButton="0" quotePrefix="0" xfId="0">
      <alignment horizontal="center" vertical="center" wrapText="1"/>
    </xf>
    <xf numFmtId="0" fontId="5" fillId="5" borderId="1" applyAlignment="1" pivotButton="0" quotePrefix="0" xfId="0">
      <alignment horizontal="center" vertical="center"/>
    </xf>
    <xf numFmtId="164" fontId="5" fillId="5" borderId="1" applyAlignment="1" pivotButton="0" quotePrefix="0" xfId="0">
      <alignment horizontal="right" vertical="center"/>
    </xf>
    <xf numFmtId="10" fontId="5" fillId="5" borderId="1" applyAlignment="1" pivotButton="0" quotePrefix="0" xfId="0">
      <alignment horizontal="right" vertical="center"/>
    </xf>
    <xf numFmtId="167" fontId="5" fillId="5" borderId="1" applyAlignment="1" pivotButton="0" quotePrefix="0" xfId="0">
      <alignment horizontal="right" vertical="center"/>
    </xf>
    <xf numFmtId="0" fontId="4" fillId="0" borderId="1" applyAlignment="1" pivotButton="0" quotePrefix="0" xfId="0">
      <alignment horizontal="left" vertical="center"/>
    </xf>
    <xf numFmtId="0" fontId="5" fillId="4" borderId="2" applyAlignment="1" pivotButton="0" quotePrefix="0" xfId="0">
      <alignment horizontal="center" vertical="center"/>
    </xf>
    <xf numFmtId="0" fontId="5" fillId="4" borderId="2" applyAlignment="1" pivotButton="0" quotePrefix="0" xfId="0">
      <alignment horizontal="left" vertical="center"/>
    </xf>
    <xf numFmtId="164" fontId="5" fillId="4" borderId="2" applyAlignment="1" pivotButton="0" quotePrefix="0" xfId="0">
      <alignment horizontal="right" vertical="center"/>
    </xf>
    <xf numFmtId="10" fontId="5" fillId="4" borderId="2" applyAlignment="1" pivotButton="0" quotePrefix="0" xfId="0">
      <alignment horizontal="right" vertical="center"/>
    </xf>
    <xf numFmtId="167" fontId="5" fillId="4" borderId="2" applyAlignment="1" pivotButton="0" quotePrefix="0" xfId="0">
      <alignment horizontal="right" vertical="center"/>
    </xf>
    <xf numFmtId="0" fontId="5" fillId="0"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164" fontId="5" fillId="7" borderId="1" applyAlignment="1" pivotButton="0" quotePrefix="0" xfId="0">
      <alignment horizontal="right" vertical="center"/>
    </xf>
    <xf numFmtId="10" fontId="5" fillId="7" borderId="1" applyAlignment="1" pivotButton="0" quotePrefix="0" xfId="0">
      <alignment horizontal="right" vertical="center"/>
    </xf>
    <xf numFmtId="167" fontId="5" fillId="7" borderId="1" applyAlignment="1" pivotButton="0" quotePrefix="0" xfId="0">
      <alignment horizontal="right" vertical="center"/>
    </xf>
    <xf numFmtId="0" fontId="5" fillId="5" borderId="3" applyAlignment="1" pivotButton="0" quotePrefix="0" xfId="0">
      <alignment horizontal="center" vertical="center"/>
    </xf>
    <xf numFmtId="0" fontId="5" fillId="5" borderId="3" applyAlignment="1" pivotButton="0" quotePrefix="0" xfId="0">
      <alignment horizontal="left" vertical="center"/>
    </xf>
    <xf numFmtId="1" fontId="5" fillId="5" borderId="3" applyAlignment="1" pivotButton="0" quotePrefix="0" xfId="0">
      <alignment horizontal="right" vertical="center"/>
    </xf>
    <xf numFmtId="0" fontId="2" fillId="0" borderId="1" applyAlignment="1" pivotButton="0" quotePrefix="0" xfId="0">
      <alignment horizontal="center" vertical="center"/>
    </xf>
    <xf numFmtId="164" fontId="0" fillId="0" borderId="1" applyAlignment="1" pivotButton="0" quotePrefix="0" xfId="0">
      <alignment horizontal="right" vertical="center"/>
    </xf>
    <xf numFmtId="164" fontId="0" fillId="0" borderId="2" applyAlignment="1" pivotButton="0" quotePrefix="0" xfId="0">
      <alignment horizontal="right" vertical="center"/>
    </xf>
    <xf numFmtId="10" fontId="5" fillId="3" borderId="3" applyAlignment="1" pivotButton="0" quotePrefix="0" xfId="0">
      <alignment horizontal="right" vertical="center"/>
    </xf>
    <xf numFmtId="10" fontId="8" fillId="4" borderId="3" applyAlignment="1" pivotButton="0" quotePrefix="0" xfId="0">
      <alignment horizontal="right" vertical="center"/>
    </xf>
    <xf numFmtId="10" fontId="9" fillId="6" borderId="3" applyAlignment="1" pivotButton="0" quotePrefix="0" xfId="0">
      <alignment horizontal="right" vertical="center"/>
    </xf>
    <xf numFmtId="0" fontId="8" fillId="4" borderId="1" applyAlignment="1" pivotButton="0" quotePrefix="0" xfId="0">
      <alignment horizontal="center" vertical="center"/>
    </xf>
    <xf numFmtId="0" fontId="9" fillId="6" borderId="1" applyAlignment="1" pivotButton="0" quotePrefix="0" xfId="0">
      <alignment horizontal="center" vertical="center"/>
    </xf>
    <xf numFmtId="0" fontId="2" fillId="3" borderId="1" applyAlignment="1" pivotButton="0" quotePrefix="0" xfId="0">
      <alignment horizontal="left" vertical="center" wrapText="1"/>
    </xf>
    <xf numFmtId="0" fontId="0" fillId="0" borderId="1" applyAlignment="1" pivotButton="0" quotePrefix="0" xfId="0">
      <alignment horizontal="right" vertical="center"/>
    </xf>
    <xf numFmtId="167" fontId="0" fillId="0" borderId="1" applyAlignment="1" pivotButton="0" quotePrefix="0" xfId="0">
      <alignment horizontal="right" vertical="center"/>
    </xf>
    <xf numFmtId="0" fontId="2" fillId="0" borderId="1" applyAlignment="1" pivotButton="0" quotePrefix="0" xfId="0">
      <alignment horizontal="left" vertical="center"/>
    </xf>
    <xf numFmtId="0" fontId="5" fillId="0" borderId="3" pivotButton="0" quotePrefix="0" xfId="0"/>
    <xf numFmtId="0" fontId="5" fillId="0" borderId="3" applyAlignment="1" pivotButton="0" quotePrefix="0" xfId="0">
      <alignment horizontal="center" vertical="center"/>
    </xf>
    <xf numFmtId="0" fontId="8" fillId="4" borderId="3" applyAlignment="1" pivotButton="0" quotePrefix="0" xfId="0">
      <alignment horizontal="center" vertical="center"/>
    </xf>
    <xf numFmtId="0" fontId="5" fillId="7" borderId="3" applyAlignment="1" pivotButton="0" quotePrefix="0" xfId="0">
      <alignment horizontal="center" vertical="center"/>
    </xf>
    <xf numFmtId="0" fontId="5" fillId="0" borderId="1" applyAlignment="1" pivotButton="0" quotePrefix="0" xfId="0">
      <alignment horizontal="left" vertical="center" wrapText="1"/>
    </xf>
    <xf numFmtId="0" fontId="2" fillId="0" borderId="2" pivotButton="0" quotePrefix="0" xfId="0"/>
    <xf numFmtId="0" fontId="2" fillId="0" borderId="2" applyAlignment="1" pivotButton="0" quotePrefix="0" xfId="0">
      <alignment horizontal="center" vertical="center"/>
    </xf>
    <xf numFmtId="164" fontId="5" fillId="0" borderId="2" applyAlignment="1" pivotButton="0" quotePrefix="0" xfId="0">
      <alignment horizontal="right" vertical="center"/>
    </xf>
    <xf numFmtId="0" fontId="4" fillId="0" borderId="2" applyAlignment="1" pivotButton="0" quotePrefix="0" xfId="0">
      <alignment horizontal="center" vertical="center"/>
    </xf>
    <xf numFmtId="0" fontId="2" fillId="0" borderId="3" pivotButton="0" quotePrefix="0" xfId="0"/>
    <xf numFmtId="0" fontId="2" fillId="0" borderId="3" applyAlignment="1" pivotButton="0" quotePrefix="0" xfId="0">
      <alignment horizontal="center" vertical="center"/>
    </xf>
    <xf numFmtId="10" fontId="0" fillId="0" borderId="1" applyAlignment="1" pivotButton="0" quotePrefix="0" xfId="0">
      <alignment horizontal="right" vertical="center"/>
    </xf>
    <xf numFmtId="0" fontId="0" fillId="0" borderId="2" applyAlignment="1" pivotButton="0" quotePrefix="0" xfId="0">
      <alignment horizontal="right" vertical="center"/>
    </xf>
    <xf numFmtId="168" fontId="4" fillId="0" borderId="1" applyAlignment="1" pivotButton="0" quotePrefix="0" xfId="0">
      <alignment horizontal="right" vertical="center"/>
    </xf>
    <xf numFmtId="2" fontId="5" fillId="0" borderId="3" applyAlignment="1" pivotButton="0" quotePrefix="0" xfId="0">
      <alignment horizontal="right" vertical="center"/>
    </xf>
    <xf numFmtId="0" fontId="3" fillId="2"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Glosario Financiero SEC</author>
  </authors>
  <commentList>
    <comment ref="A6" authorId="0" shapeId="0">
      <text>
        <t>Margen Bruto = (Ingresos - Coste de Ventas) / Ingresos
Mide el porcentaje de ventas que la empresa retiene tras cubrir los costes directos de fabricación. Una expansión sostenida indica poder de fijación de precios y ventajas competitivas (Moat).</t>
      </text>
    </comment>
    <comment ref="A7" authorId="0" shapeId="0">
      <text>
        <t>Margen Operativo = Beneficio Operativo (EBIT) / Ingresos
Mide la rentabilidad de las operaciones principales tras absorber gastos de I+D y comerciales (SG&amp;A).</t>
      </text>
    </comment>
    <comment ref="A8" authorId="0" shapeId="0">
      <text>
        <t>Margen Neto = Beneficio Neto (Net Income) / Ingresos
Porcentaje final de ingresos que se traduce en ganancias netas disponibles para los accionistas.</t>
      </text>
    </comment>
    <comment ref="A9" authorId="0" shapeId="0">
      <text>
        <t>Margen FCF = Flujo de Caja Libre / Ingresos
Porcentaje de ingresos convertido directamente en caja líquida libre tras pagar inversiones de capital (CapEx).</t>
      </text>
    </comment>
    <comment ref="A10" authorId="0" shapeId="0">
      <text>
        <t>Tasa de Conversión = Free Cash Flow / Net Income
Mide la calidad contable de los beneficios. Si es superior a 100%, indica que las ganancias contables están más que respaldadas por efectivo real generado.</t>
      </text>
    </comment>
    <comment ref="A13" authorId="0" shapeId="0">
      <text>
        <t>ROE = Beneficio Neto / Promedio de Patrimonio Neto ((t + t-1) / 2)
Rentabilidad obtenida sobre los fondos propios medios del ejercicio.
El uso de patrimonio promedio mitiga distorsiones provocadas por recompras masivas de acciones o variaciones puntuales al cierre (Estándar institucional FactSet/Bloomberg).</t>
      </text>
    </comment>
    <comment ref="A14" authorId="0" shapeId="0">
      <text>
        <t>ROA = Beneficio Neto / Promedio de Activos Totales ((t + t-1) / 2)
Mide la eficiencia con la que la gerencia utiliza los activos medios operativos del ejercicio para generar beneficios netos.
Cumple con el principio contable de correspondencia temporal (Matching Principle), evitando castigar a empresas en fuerte crecimiento orgánico.</t>
      </text>
    </comment>
    <comment ref="A15" authorId="0" shapeId="0">
      <text>
        <t>ROC Greenblatt (Magic Formula) = EBIT / Capital Tangible Operativo Promedio
Mide la rentabilidad y productividad económica pura del negocio sobre los activos físicos y operativos requeridos para operar.
Excluye deuda, impuestos e intangibles capitalizados. Denominador = Promedio de (Capital de Trabajo Neto Operativo + PP&amp;E Neto).
Detección en Balances SEC:
• Numerador: Operating Income del Estado de Resultados (10-K / 10-Q).
• Activos Op.: Total Current Assets menos Efectivo y Valores Negociables.
• Pasivos Op.: Total Current Liabilities menos Commercial Paper y Deuda CP.
• PP&amp;E Neto: Property, plant and equipment, net del Balance.
• Salvaguarda: Si NWC &lt; 0, Capital Tangible se acota al PP&amp;E Neto.</t>
      </text>
    </comment>
    <comment ref="A18" authorId="0" shapeId="0">
      <text>
        <t>Current Ratio = Activo Corriente / Pasivo Corriente
Mide la solvencia de corto plazo (&lt; 1 año). Un valor &gt; 1.0x indica que los activos líquidos cubren las deudas inmediatas.</t>
      </text>
    </comment>
    <comment ref="A19" authorId="0" shapeId="0">
      <text>
        <t>Debt to Equity = Deuda Financiera Total / Patrimonio Neto
Mide el grado de apalancamiento financiero y la dependencia de acreedores frente al capital propio.</t>
      </text>
    </comment>
    <comment ref="A22" authorId="0" shapeId="0">
      <text>
        <t>Gross Profitability (Novy-Marx) = Utilidad Bruta / Activos Totales
Mide la productividad económica pura del capital instalado. Libre de distorsiones por gastos financieros, impuestos, amortizaciones contables o gastos corporativos. Factor clave de Quality Investing (Novy-Marx 2013 / Fama-French RMW).</t>
      </text>
    </comment>
    <comment ref="A23" authorId="0" shapeId="0">
      <text>
        <t>Gross Profitability Operativa = Utilidad Bruta / (Activos Totales - Caja y Equivalentes)
Aísla el efecto de la tesorería ociosa, evaluando el retorno generado exclusivamente sobre los activos que operan activamente en el negocio.</t>
      </text>
    </comment>
    <comment ref="A24" authorId="0" shapeId="0">
      <text>
        <t>Cash Drag = Gross Profitability Operativa - Gross Profitability Total
Mide en puntos porcentuales cuánto diluye la caja acumulada la rentabilidad nominal sobre activos. Un valor elevado revela una tesorería masiva que esconde la verdadera potencia productiva del negocio.</t>
      </text>
    </comment>
    <comment ref="A25" authorId="0" shapeId="0">
      <text>
        <t>Margen Bruto = Utilidad Bruta / Ingresos
Componente de margen en la descomposición DuPont de Novy-Marx. Evalúa pricing power y moat de marca.</t>
      </text>
    </comment>
    <comment ref="A26" authorId="0" shapeId="0">
      <text>
        <t>Rotación de Activos = Ingresos / Activos Totales
Componente de velocidad en DuPont. Mide cuántas veces al año la empresa convierte sus activos en ventas.</t>
      </text>
    </comment>
    <comment ref="A27" authorId="0" shapeId="0">
      <text>
        <t>Rotación Operativa = Ingresos / (Activos Totales - Caja)
Velocidad de facturación generada por cada dólar de activo operativo directo.</t>
      </text>
    </comment>
    <comment ref="A30" authorId="0" shapeId="0">
      <text>
        <t>ROIC Tradicional = NOPAT / Capital Invertido Promedio en Libros ((t + t-1) / 2)
Mide el retorno sobre activos tangibles registrados calculados sobre capital medio.
Tiende a estar artificialmente inflado en empresas de tecnología o marca masiva porque I+D y Publicidad se expulsan a gastos corrientes.</t>
      </text>
    </comment>
    <comment ref="A31" authorId="0" shapeId="0">
      <text>
        <t>ROIC Ajustado = NOPAT Ajustado / Capital Invertido Promedio Reconstituido ((t + t-1) / 2)
Metodología Damodaran/Mauboussin. Capitaliza I+D y Marketing amortizándolos económicamente.
Calculado sobre el Capital Invertido Promedio para garantizar la estricta correspondencia temporal con el NOPAT del ejercicio.</t>
      </text>
    </comment>
    <comment ref="A32" authorId="0" shapeId="0">
      <text>
        <t>Valor neto acumulado en balance de los gastos de I+D y Marca tras aplicar amortización lineal de N años.</t>
      </text>
    </comment>
    <comment ref="A33" authorId="0" shapeId="0">
      <text>
        <t>Capital Invertido Total Promedio = Promedio de (Activos Operativos + Stock Neto de Intangibles Capitalizados) ((t + t-1) / 2).</t>
      </text>
    </comment>
    <comment ref="A34" authorId="0" shapeId="0">
      <text>
        <t>WACC = (We * Ke) + (Wd * Kd * (1 - t))
Tasa de corte mínima exigida por accionistas y acreedores a valor de mercado.</t>
      </text>
    </comment>
    <comment ref="A35" authorId="0" shapeId="0">
      <text>
        <t>Spread Económico = ROIC Ajustado - WACC (puntos porcentuales)
Si es &gt; 0, crea valor económico neto (EVA). Si es &gt; +15%, califica como Foso Defensivo Excepcional (Wide Moat).</t>
      </text>
    </comment>
  </commentList>
</comments>
</file>

<file path=xl/comments/comment2.xml><?xml version="1.0" encoding="utf-8"?>
<comments xmlns="http://schemas.openxmlformats.org/spreadsheetml/2006/main">
  <authors>
    <author>Auditoría Fundamental SEC</author>
  </authors>
  <commentList>
    <comment ref="A8" authorId="0" shapeId="0">
      <text>
        <t>CRITERIO PIOTROSKI F-SCORE: ROA Positivo
• Categoría: Rentabilidad
• Regla Oficial: Net Income / Activos t-1 &gt; 0
• Lógica Contable: Utilidad neta positiva sobre la base de activos instalados.
• Fuente Oficial: SEC EDGAR Form 10-K / 10-Q XBRL</t>
      </text>
    </comment>
    <comment ref="A9" authorId="0" shapeId="0">
      <text>
        <t>CRITERIO PIOTROSKI F-SCORE: CFO Positivo
• Categoría: Rentabilidad
• Regla Oficial: Operating Cash Flow &gt; 0
• Lógica Contable: Flujo de caja operativo neto positivo.
• Fuente Oficial: SEC EDGAR Form 10-K / 10-Q XBRL</t>
      </text>
    </comment>
    <comment ref="A10" authorId="0" shapeId="0">
      <text>
        <t>CRITERIO PIOTROSKI F-SCORE: Mejora Interanual de ROA
• Categoría: Rentabilidad
• Regla Oficial: Delta ROA &gt; 0%
• Lógica Contable: Aceleración de la rentabilidad sobre activos frente al año previo.
• Fuente Oficial: SEC EDGAR Form 10-K / 10-Q XBRL</t>
      </text>
    </comment>
    <comment ref="A11" authorId="0" shapeId="0">
      <text>
        <t>CRITERIO PIOTROSKI F-SCORE: Calidad Contable de Sloan
• Categoría: Rentabilidad
• Regla Oficial: CFO &gt; Net Income
• Lógica Contable: Beneficios respaldados por efectivo contante (bajos devengos contables).
• Fuente Oficial: SEC EDGAR Form 10-K / 10-Q XBRL</t>
      </text>
    </comment>
    <comment ref="A12" authorId="0" shapeId="0">
      <text>
        <t>CRITERIO PIOTROSKI F-SCORE: Desendeudamiento Financiero Total
• Categoría: Apalancamiento
• Regla Oficial: Delta Deuda Total &lt;= 0%
• Lógica Contable: Reducción o estabilidad del apalancamiento financiero total sobre activos.
• Fuente Oficial: SEC EDGAR Form 10-K / 10-Q XBRL</t>
      </text>
    </comment>
    <comment ref="A13" authorId="0" shapeId="0">
      <text>
        <t>CRITERIO PIOTROSKI F-SCORE: Mejora de Razón Corriente
• Categoría: Liquidez
• Regla Oficial: Delta Current Ratio &gt; 0x
• Lógica Contable: Mayor cobertura de pasivos a corto plazo con activos corrientes.
• Fuente Oficial: SEC EDGAR Form 10-K / 10-Q XBRL</t>
      </text>
    </comment>
    <comment ref="A14" authorId="0" shapeId="0">
      <text>
        <t>CRITERIO PIOTROSKI F-SCORE: Cero Dilución (Acciones Básicas)
• Categoría: Capital
• Regla Oficial: Delta Acciones Básicas &lt;= 0
• Lógica Contable: Sin emisión neta dilutiva de capital; recompra de acciones o estabilidad.
• Fuente Oficial: SEC EDGAR Form 10-K / 10-Q XBRL</t>
      </text>
    </comment>
    <comment ref="A15" authorId="0" shapeId="0">
      <text>
        <t>CRITERIO PIOTROSKI F-SCORE: Expansión de Margen Bruto
• Categoría: Eficiencia
• Regla Oficial: Delta Margen Bruto &gt; 0%
• Lógica Contable: Mayor poder de fijación de precios o menor coste unitario de ventas.
• Fuente Oficial: SEC EDGAR Form 10-K / 10-Q XBRL</t>
      </text>
    </comment>
    <comment ref="A16" authorId="0" shapeId="0">
      <text>
        <t>CRITERIO PIOTROSKI F-SCORE: Expansión Rotación Activos
• Categoría: Eficiencia
• Regla Oficial: Delta Rotación Activos &gt; 0x
• Lógica Contable: Mayor volumen de ingresos generado por cada dólar de activo instalado.
• Fuente Oficial: SEC EDGAR Form 10-K / 10-Q XBRL</t>
      </text>
    </comment>
    <comment ref="D17" authorId="0" shapeId="0">
      <text>
        <t>TOTAL PIOTROSKI F-SCORE (FY2024)
• Puntuación: 6 de 9 Puntos
• Clasificación: SALUD SÓLIDA
• Escala Institucional:
  - 8-9 Pts: Fortaleza Financiera Sobresaliente
  - 5-7 Pts: Situación Estable
  - 0-4 Pts: Fragilidad / Alerta Financiera</t>
      </text>
    </comment>
    <comment ref="E17" authorId="0" shapeId="0">
      <text>
        <t>TOTAL PIOTROSKI F-SCORE (FY2023)
• Puntuación: 7 de 9 Puntos
• Clasificación: SALUD SÓLIDA
• Escala Institucional:
  - 8-9 Pts: Fortaleza Financiera Sobresaliente
  - 5-7 Pts: Situación Estable
  - 0-4 Pts: Fragilidad / Alerta Financiera</t>
      </text>
    </comment>
    <comment ref="F17" authorId="0" shapeId="0">
      <text>
        <t>TOTAL PIOTROSKI F-SCORE (FY2022)
• Puntuación: 4 de 9 Puntos
• Clasificación: VULNERABILIDAD FINANCIERA
• Escala Institucional:
  - 8-9 Pts: Fortaleza Financiera Sobresaliente
  - 5-7 Pts: Situación Estable
  - 0-4 Pts: Fragilidad / Alerta Financiera</t>
      </text>
    </comment>
    <comment ref="G17" authorId="0" shapeId="0">
      <text>
        <t>TOTAL PIOTROSKI F-SCORE (FY2021)
• Puntuación: 3 de 9 Puntos
• Clasificación: VULNERABILIDAD FINANCIERA
• Escala Institucional:
  - 8-9 Pts: Fortaleza Financiera Sobresaliente
  - 5-7 Pts: Situación Estable
  - 0-4 Pts: Fragilidad / Alerta Financiera</t>
      </text>
    </comment>
    <comment ref="H17" authorId="0" shapeId="0">
      <text>
        <t>TOTAL PIOTROSKI F-SCORE (FY2020)
• Puntuación: 2 de 9 Puntos
• Clasificación: VULNERABILIDAD FINANCIERA
• Escala Institucional:
  - 8-9 Pts: Fortaleza Financiera Sobresaliente
  - 5-7 Pts: Situación Estable
  - 0-4 Pts: Fragilidad / Alerta Financiera</t>
      </text>
    </comment>
    <comment ref="A22" authorId="0" shapeId="0">
      <text>
        <t>CRITERIO MOHANRAM G-SCORE: ROA &gt; Mediana del Sector
• Categoría: Rentabilidad
• Benchmark Sectorial Oficial: &gt; Mediana Sector (1.40%)
• Lógica Contable: Rentabilidad sobre activos superior a la mitad del sector.
• Fuente: SEC EDGAR &amp; Mediana del Sector SIC 6199 (Hoja 8: 'Peer Group &amp; Medianas')</t>
      </text>
    </comment>
    <comment ref="A23" authorId="0" shapeId="0">
      <text>
        <t>CRITERIO MOHANRAM G-SCORE: CFROA &gt; Mediana del Sector
• Categoría: Flujo de Caja
• Benchmark Sectorial Oficial: &gt; Mediana Sector (2.48%)
• Lógica Contable: Generación de caja operativa sobre activos líder en la industria.
• Fuente: SEC EDGAR &amp; Mediana del Sector SIC 6199 (Hoja 8: 'Peer Group &amp; Medianas')</t>
      </text>
    </comment>
    <comment ref="A24" authorId="0" shapeId="0">
      <text>
        <t>CRITERIO MOHANRAM G-SCORE: Calidad Contable (CFO &gt; NI)
• Categoría: Devengos
• Benchmark Sectorial Oficial: CFO &gt; Utilidad Neta
• Lógica Contable: Flujo de caja operativo superior a las ganancias devengadas.
• Fuente: SEC EDGAR &amp; Mediana del Sector SIC 6199 (Hoja 8: 'Peer Group &amp; Medianas')</t>
      </text>
    </comment>
    <comment ref="A25" authorId="0" shapeId="0">
      <text>
        <t>CRITERIO MOHANRAM G-SCORE: Estabilidad / Nivel Superior de ROA
• Categoría: Predictibilidad
• Benchmark Sectorial Oficial: CV &lt; 0.40 o ROA &gt;= P75 (2.92%)
• Lógica Contable: Baja volatilidad en rentabilidad o nivel de retorno permanentemente en percentil 75 superior.
• Fuente: SEC EDGAR &amp; Mediana del Sector SIC 6199 (Hoja 8: 'Peer Group &amp; Medianas')</t>
      </text>
    </comment>
    <comment ref="A26" authorId="0" shapeId="0">
      <text>
        <t>CRITERIO MOHANRAM G-SCORE: Estabilidad / Hipercrecimiento
• Categoría: Predictibilidad
• Benchmark Sectorial Oficial: CV &lt; 0.35 o g &gt;= 20%
• Lógica Contable: Trayectoria predecible de ingresos o expansión acelerada superior al 20% anual.
• Fuente: SEC EDGAR &amp; Mediana del Sector SIC 6199 (Hoja 8: 'Peer Group &amp; Medianas')</t>
      </text>
    </comment>
    <comment ref="A27" authorId="0" shapeId="0">
      <text>
        <t>CRITERIO MOHANRAM G-SCORE: Intensidad en I+D vs Sector
• Categoría: Intangibles
• Benchmark Sectorial Oficial: R&amp;D / Activos &gt; 1.21%
• Lógica Contable: Reinversión en investigación y desarrollo para fortalecer ventajas competitivas (moats).
• Fuente: SEC EDGAR &amp; Mediana del Sector SIC 6199 (Hoja 8: 'Peer Group &amp; Medianas')</t>
      </text>
    </comment>
    <comment ref="A28" authorId="0" shapeId="0">
      <text>
        <t>CRITERIO MOHANRAM G-SCORE: Inversión de Capital / Asset-Light
• Categoría: Inversión
• Benchmark Sectorial Oficial: Reinversión &gt; 1.69%
• Lógica Contable: Tasa de Inversión Total en Crecimiento (I+D + CapEx) para modelos ligeros en activos.
• Fuente: SEC EDGAR &amp; Mediana del Sector SIC 6199 (Hoja 8: 'Peer Group &amp; Medianas')</t>
      </text>
    </comment>
    <comment ref="A29" authorId="0" shapeId="0">
      <text>
        <t>CRITERIO MOHANRAM G-SCORE: Apalancamiento Comercial (SG&amp;A)
• Categoría: Eficiencia
• Benchmark Sectorial Oficial: % Delta Ventas &gt; % Delta SG&amp;A
• Lógica Contable: Eficiencia comercial: ingresos escalan con mayor dinamismo que los gastos administrativos y de ventas.
• Fuente: SEC EDGAR &amp; Mediana del Sector SIC 6199 (Hoja 8: 'Peer Group &amp; Medianas')</t>
      </text>
    </comment>
    <comment ref="D30" authorId="0" shapeId="0">
      <text>
        <t>TOTAL MOHANRAM G-SCORE (FY2024)
• Puntuación: 6 de 8 Puntos
• Clasificación: CRECIMIENTO DE ÉLITE
• Escala Institucional:
  - 6-8 Pts: Calidad de Crecimiento Élite (Compounder)
  - 4-5 Pts: Crecimiento Promedio / Moderado
  - 0-3 Pts: Crecimiento Frágil o Destructivo</t>
      </text>
    </comment>
    <comment ref="E30" authorId="0" shapeId="0">
      <text>
        <t>TOTAL MOHANRAM G-SCORE (FY2023)
• Puntuación: 6 de 8 Puntos
• Clasificación: CRECIMIENTO DE ÉLITE
• Escala Institucional:
  - 6-8 Pts: Calidad de Crecimiento Élite (Compounder)
  - 4-5 Pts: Crecimiento Promedio / Moderado
  - 0-3 Pts: Crecimiento Frágil o Destructivo</t>
      </text>
    </comment>
    <comment ref="F30" authorId="0" shapeId="0">
      <text>
        <t>TOTAL MOHANRAM G-SCORE (FY2022)
• Puntuación: 4 de 8 Puntos
• Clasificación: CRECIMIENTO PROMEDIO
• Escala Institucional:
  - 6-8 Pts: Calidad de Crecimiento Élite (Compounder)
  - 4-5 Pts: Crecimiento Promedio / Moderado
  - 0-3 Pts: Crecimiento Frágil o Destructivo</t>
      </text>
    </comment>
    <comment ref="G30" authorId="0" shapeId="0">
      <text>
        <t>TOTAL MOHANRAM G-SCORE (FY2021)
• Puntuación: 2 de 8 Puntos
• Clasificación: CRECIMIENTO FRÁGIL
• Escala Institucional:
  - 6-8 Pts: Calidad de Crecimiento Élite (Compounder)
  - 4-5 Pts: Crecimiento Promedio / Moderado
  - 0-3 Pts: Crecimiento Frágil o Destructivo</t>
      </text>
    </comment>
    <comment ref="H30" authorId="0" shapeId="0">
      <text>
        <t>TOTAL MOHANRAM G-SCORE (FY2020)
• Puntuación: 2 de 8 Puntos
• Clasificación: CRECIMIENTO FRÁGIL
• Escala Institucional:
  - 6-8 Pts: Calidad de Crecimiento Élite (Compounder)
  - 4-5 Pts: Crecimiento Promedio / Moderado
  - 0-3 Pts: Crecimiento Frágil o Destructivo</t>
      </text>
    </comment>
  </commentList>
</comments>
</file>

<file path=xl/comments/comment3.xml><?xml version="1.0" encoding="utf-8"?>
<comments xmlns="http://schemas.openxmlformats.org/spreadsheetml/2006/main">
  <authors>
    <author>Glosario Institucional</author>
    <author>Auditoría SEC EDGAR</author>
    <author>Metodología Scoring &amp; Benchmark</author>
    <author>Estadística Sectorial</author>
    <author>Metodología Mohanram G-Score</author>
    <author>Auditoría Competitiva</author>
  </authors>
  <commentList>
    <comment ref="A6" authorId="0" shapeId="0">
      <text>
        <t>Ticker Bursátil
Símbolo de cotización en bolsas de EE.UU. (NASDAQ / NYSE).</t>
      </text>
    </comment>
    <comment ref="B6" authorId="0" shapeId="0">
      <text>
        <t>Empresa Competidora
Compañía comparable del sector de tecnología de hardware y almacenamiento (SIC 3571).</t>
      </text>
    </comment>
    <comment ref="C6" authorId="0" shapeId="0">
      <text>
        <t>Ingresos LTM ($M)
Fórmula: Total Revenue (Últimos 12 meses móviles).
Facturación bruta auditada generada por venta de productos y servicios.
Fuente: SEC Form 10-K y 10-Q.</t>
      </text>
    </comment>
    <comment ref="D6" authorId="0" shapeId="0">
      <text>
        <t>Activos Totales LTM ($M)
Fórmula: Total Assets al cierre del período LTM.
Base total de capital y recursos controlados por la entidad.
Fuente: Balance General Auditado.</t>
      </text>
    </comment>
    <comment ref="E6" authorId="0" shapeId="0">
      <text>
        <t>Gasto I+D LTM ($M)
Fórmula: Research and Development Expense LTM.
Inversión en desarrollo de nueva tecnología, software y patentes.
Fuente: Estado de Resultados.</t>
      </text>
    </comment>
    <comment ref="F6" authorId="0" shapeId="0">
      <text>
        <t>Intensidad I+D (I+D/Act)
Fórmula: =Gasto I+D / Activos Totales (Col E / Col D).
Evalúa la inversión en innovación relativa al tamaño de activos. Criterio clave del Mohanram G6.</t>
      </text>
    </comment>
    <comment ref="G6" authorId="0" shapeId="0">
      <text>
        <t>CapEx LTM ($M)
Fórmula: Payments for Property, Plant and Equipment (CapEx) LTM.
Inversiones en bienes de uso, centros de datos y equipamiento técnico.
Fuente: Flujo de Caja de Inversión.</t>
      </text>
    </comment>
    <comment ref="H6" authorId="0" shapeId="0">
      <text>
        <t>Inversión Total
Fórmula: =(I+D + CapEx) / Activos Totales ((Col E + Col G) / Col D).
Métrica consensuada para modelos Asset-Light. Tasa de reinversión total en crecimiento orgánico e intangible. Criterio Mohanram G7.</t>
      </text>
    </comment>
    <comment ref="I6" authorId="0" shapeId="0">
      <text>
        <t>Utilidad Neta LTM ($M)
Fórmula: Net Income auditada LTM.
Beneficio final neto después de impuestos, intereses y amortizaciones atribuible a los accionistas.</t>
      </text>
    </comment>
    <comment ref="J6" authorId="0" shapeId="0">
      <text>
        <t>ROA LTM (%)
Fórmula: =Utilidad Neta / Activos Totales (Col I / Col D).
Rentabilidad Económica Operativa sobre activos instalados. Criterio de rentabilidad en Piotroski F1 y Mohanram G1.</t>
      </text>
    </comment>
    <comment ref="K6" authorId="0" shapeId="0">
      <text>
        <t>Flujo Operativo CFO LTM ($M)
Fórmula: Cash Flow from Operating Activities (CFO) LTM.
Efectivo líquido generado por las operaciones comerciales ordinarias, libre de devengos contables.</t>
      </text>
    </comment>
    <comment ref="L6" authorId="0" shapeId="0">
      <text>
        <t>CFROA LTM (%)
Fórmula: =CFO / Activos Totales (Col K / Col D).
Rentabilidad de flujo de caja sobre activos instalados. Mide la verdadera capacidad de convertir activos en efectivo contante y sonante libre de distorsiones de causación. Criterio Mohanram G2.</t>
      </text>
    </comment>
    <comment ref="M6" authorId="0" shapeId="0">
      <text>
        <t>Gastos SG&amp;A LTM ($M)
Fórmula: Selling, General and Administrative Expenses LTM.
Gastos comerciales, de ventas y administración general. Base para evaluar el apalancamiento operativo en Mohanram G8.</t>
      </text>
    </comment>
    <comment ref="N6" authorId="0" shapeId="0">
      <text>
        <t>Utilidad Bruta LTM ($M)
Fórmula: Gross Profit LTM = Ingresos - Costo de Ventas.
Utilidad bruta generada directamente por las operaciones de venta.
Fuente: SEC Form 10-K y 10-Q.</t>
      </text>
    </comment>
    <comment ref="O6" authorId="0" shapeId="0">
      <text>
        <t>GP / Activos (%) [Novy-Marx]
Fórmula: =Utilidad Bruta / Activos Totales (Col N / Col D).
Rentabilidad Bruta sobre Activos de Robert Novy-Marx (2013). Mide la productividad pura del capital instalado.</t>
      </text>
    </comment>
    <comment ref="P6" authorId="0" shapeId="0">
      <text>
        <t>GP / Activos Ex-Caja (%)
Fórmula: =Utilidad Bruta / (Activos Totales - Caja).
Aísla el exceso de tesorería y evalúa la productividad sobre activos netamente operativos.</t>
      </text>
    </comment>
    <comment ref="Q6" authorId="0" shapeId="0">
      <text>
        <t>ROIC Ajustado (%)
Fórmula: ROIC Ajustado por capitalización de intangibles de innovación y marketing (Damodaran/Mauboussin).</t>
      </text>
    </comment>
    <comment ref="R6" authorId="0" shapeId="0">
      <text>
        <t>WACC (%)
Fórmula: Costo Promedio Ponderado del Capital a valores de mercado.</t>
      </text>
    </comment>
    <comment ref="S6" authorId="0" shapeId="0">
      <text>
        <t>Spread Económico (%)
Fórmula: =ROIC Ajustado - WACC (Col Q - Col R). Creación neta de valor económico sobre capital invertido.</t>
      </text>
    </comment>
    <comment ref="T6" authorId="0" shapeId="0">
      <text>
        <t>ROC Greenblatt (%)
Fórmula: ROC Greenblatt = EBIT / Capital Tangible Promedio (NWC Operativo + PP&amp;E Neto).
Mide la rentabilidad operativa sobre activos tangibles físicos y de operación requeridos por el negocio.</t>
      </text>
    </comment>
    <comment ref="A7" authorId="1" shapeId="0">
      <text>
        <t>EMPRESA OBJETIVO AUDITADA: Nu Holdings Ltd. (NU)
• Período: Cifras oficiales LTM (Últimos 12 meses móviles auditados).
• Construcción: Q3 FY2026 móvil (Acumulado 9M FY26 + FY25 - 9M FY25).
• Fuente Oficial: SEC EDGAR Form 10-Q (1 de agosto 2026) y Form 10-K FY2025.</t>
      </text>
    </comment>
    <comment ref="B7" authorId="1" shapeId="0">
      <text>
        <t>EMPRESA OBJETIVO AUDITADA: Nu Holdings Ltd. (NU)
• Período: Cifras oficiales LTM (Últimos 12 meses móviles auditados).
• Construcción: Q3 FY2026 móvil (Acumulado 9M FY26 + FY25 - 9M FY25).
• Fuente Oficial: SEC EDGAR Form 10-Q (1 de agosto 2026) y Form 10-K FY2025.</t>
      </text>
    </comment>
    <comment ref="B10" authorId="2" shapeId="0">
      <text>
        <t>Fórmula: =MEDIAN(rango)
Mediana de la muestra del sector de tecnología (SIC 3571).
Es el valor central que separa la mitad superior de la inferior (50% por encima, 50% por debajo).
Utilizado para las señales G1, G2, G6 y G7 de Mohanram y para el Industry De-meaning de Novy-Marx GP/A.</t>
      </text>
    </comment>
    <comment ref="B11" authorId="3" shapeId="0">
      <text>
        <t>Fórmula: =AVERAGE(rango)
Media aritmética simple de la muestra de empresas comparables del sector.</t>
      </text>
    </comment>
    <comment ref="B12" authorId="4" shapeId="0">
      <text>
        <t>Fórmula: =PERCENTILE(rango, 0.75)
Percentil 75 Superior de la industria SIC 3571 (delimita el 25% superior de mejor desempeño).
Cláusula Líder Mohanram: Si una empresa se sitúa en o por encima del P75 en ROA, aprueba de inmediato el Criterio G4 sin ser penalizada por volatilidad o variabilidad de retornos.</t>
      </text>
    </comment>
    <comment ref="B15" authorId="5" shapeId="0">
      <text>
        <t>Fórmula: =RANK(celda, rango)
Posición ordinal de NU dentro del grupo de competidores analizados.
• Posición 1 = Líder absoluto de la industria en la métrica.
• Posición 3 = Menor desempeño relativo del grupo.</t>
      </text>
    </comment>
  </commentList>
</comments>
</file>

<file path=xl/comments/comment4.xml><?xml version="1.0" encoding="utf-8"?>
<comments xmlns="http://schemas.openxmlformats.org/spreadsheetml/2006/main">
  <authors>
    <author>Auditoría Forense</author>
  </authors>
  <commentList>
    <comment ref="A8" authorId="0" shapeId="0">
      <text>
        <t>El Sloan Accrual Ratio mide la proporción del beneficio contable que no proviene de efectivo operativo en relación con los activos totales promedio. Ratios &gt; +10% son señales de alarma de utilidades infladas artificialmente.</t>
      </text>
    </comment>
    <comment ref="A20" authorId="0" shapeId="0">
      <text>
        <t>Evalúa discrepancias de velocidad entre activos circulantes y la cuenta de resultados: 1) Clientes vs Ventas (Channel Stuffing), 2) Inventario vs COGS (Acumulación/Absorción indebida), 3) Activos Blandos (Capitalización de gastos).</t>
      </text>
    </comment>
    <comment ref="A51" authorId="0" shapeId="0">
      <text>
        <t>James Montier diseñó el C-Score para cuantificar la probabilidad de maquillaje en estados contables. Puntajes de 0 a 1 reflejan contabilidad limpia (&lt; 5% probabilidad de fraude); puntajes &gt;= 4 indican alto riesgo forense.</t>
      </text>
    </comment>
  </commentList>
</comments>
</file>

<file path=xl/comments/comment5.xml><?xml version="1.0" encoding="utf-8"?>
<comments xmlns="http://schemas.openxmlformats.org/spreadsheetml/2006/main">
  <authors>
    <author>Solvencia Institucional</author>
    <author>Cobertura y Carga Financiera</author>
    <author>Liquidez y Vencimientos</author>
    <author>Modelos de Insolvencia</author>
  </authors>
  <commentList>
    <comment ref="A8" authorId="0" shapeId="0">
      <text>
        <t>Evalúa cuántos años de generación bruta de efectivo (EBITDA o FCF) necesita la empresa para cancelar su deuda neta. Valores menores a 1.5x representan grado de inversión superior. Si la empresa tiene más caja que deuda, reporta Posición de Caja Neta.</t>
      </text>
    </comment>
    <comment ref="A23" authorId="1" shapeId="0">
      <text>
        <t>Mide la capacidad de la utilidad operativa (EBIT) y el flujo de caja operativo (CFO) para absorber los intereses de la deuda. Coberturas &lt; 2.5x reflejan alta vulnerabilidad ante subidas de tipos.</t>
      </text>
    </comment>
    <comment ref="A34" authorId="2" shapeId="0">
      <text>
        <t>Analiza la liquidez sin depender de la venta forzada de existencias (Quick Ratio) y la proporción de deuda que vence en menos de 12 meses (Riesgo de Refinanciación).</t>
      </text>
    </comment>
    <comment ref="A47" authorId="3" shapeId="0">
      <text>
        <t>El Altman Z''-Score (4 variables) predice la probabilidad de insolvencia a 2 años vista (Segura &gt; 2.60 | Distress &lt; 1.10). El Rating Sintético de Damodaran mapea la cobertura de intereses al rating de S&amp;P/Moody's y su probabilidad empírica de impago.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F2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47"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Resumen Fundamental (10 Años + LTM)</t>
        </is>
      </c>
    </row>
    <row r="2" ht="18" customHeight="1">
      <c r="A2" s="2" t="inlineStr">
        <is>
          <t>Cifras en Millones de USD ($M), salvo acciones | Fuente: SEC EDGAR (US-GAAP Oficial)</t>
        </is>
      </c>
    </row>
    <row r="3" ht="8" customHeight="1"/>
    <row r="4" ht="25" customHeight="1">
      <c r="A4" s="3" t="inlineStr">
        <is>
          <t>Partida Financiera (en $M USD)</t>
        </is>
      </c>
      <c r="B4" s="4" t="inlineStr">
        <is>
          <t>FY2024</t>
        </is>
      </c>
      <c r="C4" s="4" t="inlineStr">
        <is>
          <t>FY2023</t>
        </is>
      </c>
      <c r="D4" s="4" t="inlineStr">
        <is>
          <t>FY2022</t>
        </is>
      </c>
      <c r="E4" s="4" t="inlineStr">
        <is>
          <t>FY2021</t>
        </is>
      </c>
      <c r="F4" s="4" t="inlineStr">
        <is>
          <t>FY2020</t>
        </is>
      </c>
    </row>
    <row r="5" ht="18.5" customHeight="1">
      <c r="A5" s="5" t="inlineStr">
        <is>
          <t>Ingresos Totales (Revenue)</t>
        </is>
      </c>
      <c r="B5" s="6" t="n">
        <v>11517.075</v>
      </c>
      <c r="C5" s="6" t="n">
        <v>8028.976</v>
      </c>
      <c r="D5" s="6" t="n">
        <v>4792.231</v>
      </c>
      <c r="E5" s="6" t="n">
        <v>1698.023</v>
      </c>
      <c r="F5" s="6" t="n">
        <v>737.133</v>
      </c>
    </row>
    <row r="6" ht="18.5" customHeight="1">
      <c r="A6" s="5" t="inlineStr">
        <is>
          <t>(-) Costo de Ventas (COGS)</t>
        </is>
      </c>
      <c r="B6" s="7" t="inlineStr">
        <is>
          <t>-</t>
        </is>
      </c>
      <c r="C6" s="7" t="inlineStr">
        <is>
          <t>-</t>
        </is>
      </c>
      <c r="D6" s="7" t="inlineStr">
        <is>
          <t>-</t>
        </is>
      </c>
      <c r="E6" s="7" t="inlineStr">
        <is>
          <t>-</t>
        </is>
      </c>
      <c r="F6" s="7" t="inlineStr">
        <is>
          <t>-</t>
        </is>
      </c>
    </row>
    <row r="7" ht="18.5" customHeight="1">
      <c r="A7" s="8" t="inlineStr">
        <is>
          <t>(=) Margen Bruto (Gross Profit)</t>
        </is>
      </c>
      <c r="B7" s="9" t="n">
        <v>5252.909</v>
      </c>
      <c r="C7" s="9" t="n">
        <v>3490.903</v>
      </c>
      <c r="D7" s="9" t="n">
        <v>1662.99</v>
      </c>
      <c r="E7" s="9" t="n">
        <v>732.917</v>
      </c>
      <c r="F7" s="9" t="n">
        <v>326.909</v>
      </c>
    </row>
    <row r="8" ht="18.5" customHeight="1">
      <c r="A8" s="5" t="inlineStr">
        <is>
          <t>(-) Total Gastos Operativos (OpEx)</t>
        </is>
      </c>
      <c r="B8" s="7" t="inlineStr">
        <is>
          <t>-</t>
        </is>
      </c>
      <c r="C8" s="7" t="inlineStr">
        <is>
          <t>-</t>
        </is>
      </c>
      <c r="D8" s="7" t="inlineStr">
        <is>
          <t>-</t>
        </is>
      </c>
      <c r="E8" s="7" t="inlineStr">
        <is>
          <t>-</t>
        </is>
      </c>
      <c r="F8" s="7" t="inlineStr">
        <is>
          <t>-</t>
        </is>
      </c>
    </row>
    <row r="9" ht="18.5" customHeight="1">
      <c r="A9" s="8" t="inlineStr">
        <is>
          <t>(=) Beneficio Operativo (EBIT)</t>
        </is>
      </c>
      <c r="B9" s="10" t="inlineStr">
        <is>
          <t>-</t>
        </is>
      </c>
      <c r="C9" s="10" t="inlineStr">
        <is>
          <t>-</t>
        </is>
      </c>
      <c r="D9" s="10" t="inlineStr">
        <is>
          <t>-</t>
        </is>
      </c>
      <c r="E9" s="10" t="inlineStr">
        <is>
          <t>-</t>
        </is>
      </c>
      <c r="F9" s="10" t="inlineStr">
        <is>
          <t>-</t>
        </is>
      </c>
    </row>
    <row r="10" ht="18.5" customHeight="1">
      <c r="A10" s="8" t="inlineStr">
        <is>
          <t>(=) Beneficio Neto (Net Income)</t>
        </is>
      </c>
      <c r="B10" s="9" t="n">
        <v>1972.112</v>
      </c>
      <c r="C10" s="9" t="n">
        <v>1030.53</v>
      </c>
      <c r="D10" s="9" t="n">
        <v>-364.578</v>
      </c>
      <c r="E10" s="9" t="n">
        <v>-164.993</v>
      </c>
      <c r="F10" s="9" t="n">
        <v>-171.491</v>
      </c>
    </row>
    <row r="11" ht="10" customHeight="1"/>
    <row r="12" ht="18.5" customHeight="1">
      <c r="A12" s="5" t="inlineStr">
        <is>
          <t>Flujo de Caja Operativo (CFO)</t>
        </is>
      </c>
      <c r="B12" s="6" t="n">
        <v>2399.044</v>
      </c>
      <c r="C12" s="6" t="n">
        <v>1266.189</v>
      </c>
      <c r="D12" s="6" t="n">
        <v>755.573</v>
      </c>
      <c r="E12" s="6" t="n">
        <v>-2924.318</v>
      </c>
      <c r="F12" s="6" t="n">
        <v>974.52</v>
      </c>
    </row>
    <row r="13" ht="18.5" customHeight="1">
      <c r="A13" s="5" t="inlineStr">
        <is>
          <t>(-) Inversión de Capital (CapEx)</t>
        </is>
      </c>
      <c r="B13" s="6" t="n">
        <v>169.572</v>
      </c>
      <c r="C13" s="6" t="n">
        <v>156.76</v>
      </c>
      <c r="D13" s="6" t="n">
        <v>20.001</v>
      </c>
      <c r="E13" s="6" t="n">
        <v>6.025</v>
      </c>
      <c r="F13" s="6" t="n">
        <v>3.084</v>
      </c>
    </row>
    <row r="14" ht="18.5" customHeight="1">
      <c r="A14" s="11" t="inlineStr">
        <is>
          <t>(=) Flujo de Caja Libre (Free Cash Flow)</t>
        </is>
      </c>
      <c r="B14" s="12" t="n">
        <v>2229.472</v>
      </c>
      <c r="C14" s="12" t="n">
        <v>1109.429</v>
      </c>
      <c r="D14" s="12" t="n">
        <v>735.572</v>
      </c>
      <c r="E14" s="12" t="n">
        <v>-2930.343</v>
      </c>
      <c r="F14" s="12" t="n">
        <v>971.436</v>
      </c>
    </row>
    <row r="15" ht="10" customHeight="1"/>
    <row r="16" ht="18.5" customHeight="1">
      <c r="A16" s="5" t="inlineStr">
        <is>
          <t>Efectivo e Inversiones Líquidas</t>
        </is>
      </c>
      <c r="B16" s="6" t="n">
        <v>9185.742</v>
      </c>
      <c r="C16" s="6" t="n">
        <v>5923.44</v>
      </c>
      <c r="D16" s="6" t="n">
        <v>4172.316</v>
      </c>
      <c r="E16" s="6" t="n">
        <v>2705.675</v>
      </c>
      <c r="F16" s="6" t="n">
        <v>2343.78</v>
      </c>
    </row>
    <row r="17" ht="18.5" customHeight="1">
      <c r="A17" s="5" t="inlineStr">
        <is>
          <t>Deuda Financiera Total</t>
        </is>
      </c>
      <c r="B17" s="6" t="n">
        <v>201.493</v>
      </c>
      <c r="C17" s="6" t="n">
        <v>216.068</v>
      </c>
      <c r="D17" s="6" t="n">
        <v>0</v>
      </c>
      <c r="E17" s="6" t="n">
        <v>0</v>
      </c>
      <c r="F17" s="6" t="n">
        <v>0</v>
      </c>
    </row>
    <row r="18" ht="18.5" customHeight="1">
      <c r="A18" s="13" t="inlineStr">
        <is>
          <t>Deuda Neta (Deuda Total - Caja)</t>
        </is>
      </c>
      <c r="B18" s="14" t="n">
        <v>-8984.249</v>
      </c>
      <c r="C18" s="14" t="n">
        <v>-5707.372</v>
      </c>
      <c r="D18" s="14" t="n">
        <v>-4172.316</v>
      </c>
      <c r="E18" s="14" t="n">
        <v>-2705.675</v>
      </c>
      <c r="F18" s="14" t="n">
        <v>-2343.78</v>
      </c>
    </row>
    <row r="19" ht="18.5" customHeight="1">
      <c r="A19" s="8" t="inlineStr">
        <is>
          <t>Total Activos (Assets)</t>
        </is>
      </c>
      <c r="B19" s="9" t="n">
        <v>49931.214</v>
      </c>
      <c r="C19" s="9" t="n">
        <v>43498.449</v>
      </c>
      <c r="D19" s="9" t="n">
        <v>29934.872</v>
      </c>
      <c r="E19" s="9" t="n">
        <v>19858.681</v>
      </c>
      <c r="F19" s="9" t="n">
        <v>10154.25</v>
      </c>
    </row>
    <row r="20" ht="18.5" customHeight="1">
      <c r="A20" s="8" t="inlineStr">
        <is>
          <t>Patrimonio Neto (Stockholders Equity)</t>
        </is>
      </c>
      <c r="B20" s="9" t="n">
        <v>7646.289</v>
      </c>
      <c r="C20" s="9" t="n">
        <v>6406.385</v>
      </c>
      <c r="D20" s="9" t="n">
        <v>4890.783</v>
      </c>
      <c r="E20" s="9" t="n">
        <v>4441.032</v>
      </c>
      <c r="F20" s="9" t="n">
        <v>438.111</v>
      </c>
    </row>
    <row r="21" ht="10" customHeight="1"/>
    <row r="22" ht="18.5" customHeight="1">
      <c r="A22" s="8" t="inlineStr">
        <is>
          <t>BPA Diluido Normalizado (Split-Adjusted) [$]</t>
        </is>
      </c>
      <c r="B22" s="15" t="n">
        <v>0.4</v>
      </c>
      <c r="C22" s="15" t="n">
        <v>0.21</v>
      </c>
      <c r="D22" s="15" t="n">
        <v>-0.08</v>
      </c>
      <c r="E22" s="15" t="n">
        <v>1602126</v>
      </c>
      <c r="F22" s="15" t="n">
        <v>1315578</v>
      </c>
    </row>
    <row r="23" ht="18.5" customHeight="1">
      <c r="A23" s="5" t="inlineStr">
        <is>
          <t>BPA Diluido Oficial As-Reported [$]</t>
        </is>
      </c>
      <c r="B23" s="16" t="n">
        <v>0.4034</v>
      </c>
      <c r="C23" s="16" t="n">
        <v>0.2121</v>
      </c>
      <c r="D23" s="16" t="n">
        <v>-0.078</v>
      </c>
      <c r="E23" s="16" t="n">
        <v>1602126</v>
      </c>
      <c r="F23" s="16" t="n">
        <v>1315578</v>
      </c>
    </row>
    <row r="24" ht="18.5" customHeight="1">
      <c r="A24" s="13" t="inlineStr">
        <is>
          <t>Acciones Diluidas Ajustadas (Millones)</t>
        </is>
      </c>
      <c r="B24" s="17" t="inlineStr">
        <is>
          <t>-</t>
        </is>
      </c>
      <c r="C24" s="17" t="inlineStr">
        <is>
          <t>-</t>
        </is>
      </c>
      <c r="D24" s="17" t="inlineStr">
        <is>
          <t>-</t>
        </is>
      </c>
      <c r="E24" s="17" t="inlineStr">
        <is>
          <t>-</t>
        </is>
      </c>
      <c r="F24" s="17" t="inlineStr">
        <is>
          <t>-</t>
        </is>
      </c>
    </row>
    <row r="25" ht="18.5" customHeight="1">
      <c r="A25" s="5" t="inlineStr">
        <is>
          <t>Acciones Diluidas As-Reported (Millones)</t>
        </is>
      </c>
      <c r="B25" s="7" t="inlineStr">
        <is>
          <t>-</t>
        </is>
      </c>
      <c r="C25" s="7" t="inlineStr">
        <is>
          <t>-</t>
        </is>
      </c>
      <c r="D25" s="7" t="inlineStr">
        <is>
          <t>-</t>
        </is>
      </c>
      <c r="E25" s="7" t="inlineStr">
        <is>
          <t>-</t>
        </is>
      </c>
      <c r="F25" 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Ratios Financieros y Retornos</t>
        </is>
      </c>
    </row>
    <row r="2" ht="18" customHeight="1">
      <c r="A2" s="2" t="inlineStr">
        <is>
          <t>Márgenes y Retornos expresados en porcentaje (%), Múltiplos en (x) | Fuente: SEC EDGAR</t>
        </is>
      </c>
    </row>
    <row r="3" ht="8" customHeight="1"/>
    <row r="4" ht="25" customHeight="1">
      <c r="A4" s="3" t="inlineStr">
        <is>
          <t>Ratio Financiero / Métrica</t>
        </is>
      </c>
      <c r="B4" s="4" t="inlineStr">
        <is>
          <t>FY2024</t>
        </is>
      </c>
      <c r="C4" s="4" t="inlineStr">
        <is>
          <t>FY2023</t>
        </is>
      </c>
      <c r="D4" s="4" t="inlineStr">
        <is>
          <t>FY2022</t>
        </is>
      </c>
      <c r="E4" s="4" t="inlineStr">
        <is>
          <t>FY2021</t>
        </is>
      </c>
      <c r="F4" s="4" t="inlineStr">
        <is>
          <t>FY2020</t>
        </is>
      </c>
    </row>
    <row r="5" ht="22" customHeight="1">
      <c r="A5" s="18" t="inlineStr">
        <is>
          <t>MÁRGENES DE RENTABILIDAD</t>
        </is>
      </c>
      <c r="B5" s="19" t="n"/>
      <c r="C5" s="19" t="n"/>
      <c r="D5" s="19" t="n"/>
      <c r="E5" s="19" t="n"/>
      <c r="F5" s="19" t="n"/>
    </row>
    <row r="6" ht="18.5" customHeight="1">
      <c r="A6" s="5" t="inlineStr">
        <is>
          <t xml:space="preserve">   Margen Bruto (Gross Margin)</t>
        </is>
      </c>
      <c r="B6" s="20" t="n">
        <v>0.4561</v>
      </c>
      <c r="C6" s="20" t="n">
        <v>0.4348</v>
      </c>
      <c r="D6" s="20" t="n">
        <v>0.347</v>
      </c>
      <c r="E6" s="20" t="n">
        <v>0.4316</v>
      </c>
      <c r="F6" s="20" t="n">
        <v>0.4435</v>
      </c>
    </row>
    <row r="7" ht="18.5" customHeight="1">
      <c r="A7" s="5" t="inlineStr">
        <is>
          <t xml:space="preserve">   Margen Operativo (Operating Margin)</t>
        </is>
      </c>
      <c r="B7" s="21" t="inlineStr">
        <is>
          <t>-</t>
        </is>
      </c>
      <c r="C7" s="21" t="inlineStr">
        <is>
          <t>-</t>
        </is>
      </c>
      <c r="D7" s="21" t="inlineStr">
        <is>
          <t>-</t>
        </is>
      </c>
      <c r="E7" s="21" t="inlineStr">
        <is>
          <t>-</t>
        </is>
      </c>
      <c r="F7" s="21" t="inlineStr">
        <is>
          <t>-</t>
        </is>
      </c>
    </row>
    <row r="8" ht="18.5" customHeight="1">
      <c r="A8" s="5" t="inlineStr">
        <is>
          <t xml:space="preserve">   Margen Neto (Net Margin)</t>
        </is>
      </c>
      <c r="B8" s="20" t="n">
        <v>0.1712</v>
      </c>
      <c r="C8" s="20" t="n">
        <v>0.1284</v>
      </c>
      <c r="D8" s="20" t="n">
        <v>-0.0761</v>
      </c>
      <c r="E8" s="20" t="n">
        <v>-0.09720000000000001</v>
      </c>
      <c r="F8" s="20" t="n">
        <v>-0.2326</v>
      </c>
    </row>
    <row r="9" ht="18.5" customHeight="1">
      <c r="A9" s="5" t="inlineStr">
        <is>
          <t xml:space="preserve">   Margen de Flujo de Caja Libre (FCF Margin)</t>
        </is>
      </c>
      <c r="B9" s="20" t="n">
        <v>0.1936</v>
      </c>
      <c r="C9" s="20" t="n">
        <v>0.1382</v>
      </c>
      <c r="D9" s="20" t="n">
        <v>0.1535</v>
      </c>
      <c r="E9" s="20" t="n">
        <v>-1.7257</v>
      </c>
      <c r="F9" s="20" t="n">
        <v>1.3179</v>
      </c>
    </row>
    <row r="10" ht="18.5" customHeight="1">
      <c r="A10" s="5" t="inlineStr">
        <is>
          <t xml:space="preserve">   Conversión de Beneficio a FCF (FCF / Net Income)</t>
        </is>
      </c>
      <c r="B10" s="20" t="n">
        <v>1.1305</v>
      </c>
      <c r="C10" s="20" t="n">
        <v>1.0766</v>
      </c>
      <c r="D10" s="20" t="n">
        <v>-2.0176</v>
      </c>
      <c r="E10" s="20" t="n">
        <v>17.7604</v>
      </c>
      <c r="F10" s="20" t="n">
        <v>-5.6646</v>
      </c>
    </row>
    <row r="11" ht="10" customHeight="1"/>
    <row r="12" ht="22" customHeight="1">
      <c r="A12" s="18" t="inlineStr">
        <is>
          <t>RETORNOS SOBRE EL CAPITAL</t>
        </is>
      </c>
      <c r="B12" s="19" t="n"/>
      <c r="C12" s="19" t="n"/>
      <c r="D12" s="19" t="n"/>
      <c r="E12" s="19" t="n"/>
      <c r="F12" s="19" t="n"/>
    </row>
    <row r="13" ht="18.5" customHeight="1">
      <c r="A13" s="5" t="inlineStr">
        <is>
          <t xml:space="preserve">   Retorno sobre Patrimonio (ROE = Net Income / Equity Promedio)</t>
        </is>
      </c>
      <c r="B13" s="20" t="n">
        <v>0.2807</v>
      </c>
      <c r="C13" s="20" t="n">
        <v>0.1824</v>
      </c>
      <c r="D13" s="20" t="n">
        <v>-0.0781</v>
      </c>
      <c r="E13" s="20" t="n">
        <v>-0.06759999999999999</v>
      </c>
      <c r="F13" s="20" t="n">
        <v>-0.3914</v>
      </c>
    </row>
    <row r="14" ht="18.5" customHeight="1">
      <c r="A14" s="5" t="inlineStr">
        <is>
          <t xml:space="preserve">   Retorno sobre Activos (ROA = Net Income / Assets Promedio)</t>
        </is>
      </c>
      <c r="B14" s="20" t="n">
        <v>0.04219999999999999</v>
      </c>
      <c r="C14" s="20" t="n">
        <v>0.0281</v>
      </c>
      <c r="D14" s="20" t="n">
        <v>-0.0146</v>
      </c>
      <c r="E14" s="20" t="n">
        <v>-0.011</v>
      </c>
      <c r="F14" s="20" t="n">
        <v>-0.0169</v>
      </c>
    </row>
    <row r="15" ht="18.5" customHeight="1">
      <c r="A15" s="5" t="inlineStr">
        <is>
          <t xml:space="preserve">   Retorno sobre Capital Tangible (ROC Greenblatt = EBIT / Capital Tangible Promedio)</t>
        </is>
      </c>
      <c r="B15" s="20" t="n">
        <v>60.51929479999387</v>
      </c>
      <c r="C15" s="20" t="n">
        <v>30.86528093925962</v>
      </c>
      <c r="D15" s="20" t="n">
        <v>-17.53158135173475</v>
      </c>
      <c r="E15" s="20" t="n">
        <v>-13.77294544847448</v>
      </c>
      <c r="F15" s="20" t="n">
        <v>-17.4102538071066</v>
      </c>
    </row>
    <row r="16" ht="10" customHeight="1"/>
    <row r="17" ht="22" customHeight="1">
      <c r="A17" s="18" t="inlineStr">
        <is>
          <t>LIQUIDEZ Y APALANCAMIENTO</t>
        </is>
      </c>
      <c r="B17" s="19" t="n"/>
      <c r="C17" s="19" t="n"/>
      <c r="D17" s="19" t="n"/>
      <c r="E17" s="19" t="n"/>
      <c r="F17" s="19" t="n"/>
    </row>
    <row r="18" ht="18.5" customHeight="1">
      <c r="A18" s="5" t="inlineStr">
        <is>
          <t xml:space="preserve">   Ratio de Liquidez Corriente (Current Ratio)</t>
        </is>
      </c>
      <c r="B18" s="21" t="inlineStr">
        <is>
          <t>-</t>
        </is>
      </c>
      <c r="C18" s="21" t="inlineStr">
        <is>
          <t>-</t>
        </is>
      </c>
      <c r="D18" s="21" t="inlineStr">
        <is>
          <t>-</t>
        </is>
      </c>
      <c r="E18" s="21" t="inlineStr">
        <is>
          <t>-</t>
        </is>
      </c>
      <c r="F18" s="21" t="inlineStr">
        <is>
          <t>-</t>
        </is>
      </c>
    </row>
    <row r="19" ht="18.5" customHeight="1">
      <c r="A19" s="5" t="inlineStr">
        <is>
          <t xml:space="preserve">   Deuda sobre Patrimonio (Debt to Equity)</t>
        </is>
      </c>
      <c r="B19" s="22" t="n">
        <v>0.03</v>
      </c>
      <c r="C19" s="22" t="n">
        <v>0.03</v>
      </c>
      <c r="D19" s="22" t="n">
        <v>0</v>
      </c>
      <c r="E19" s="22" t="n">
        <v>0</v>
      </c>
      <c r="F19" s="22" t="n">
        <v>0</v>
      </c>
    </row>
    <row r="20" ht="10" customHeight="1"/>
    <row r="21" ht="22" customHeight="1">
      <c r="A21" s="18" t="inlineStr">
        <is>
          <t>PRODUCTIVIDAD PURA DEL CAPITAL (NOVY-MARX DUPONT)</t>
        </is>
      </c>
      <c r="B21" s="19" t="n"/>
      <c r="C21" s="19" t="n"/>
      <c r="D21" s="19" t="n"/>
      <c r="E21" s="19" t="n"/>
      <c r="F21" s="19" t="n"/>
    </row>
    <row r="22" ht="18.5" customHeight="1">
      <c r="A22" s="5" t="inlineStr">
        <is>
          <t xml:space="preserve">   Gross Profitability (Activos Totales)</t>
        </is>
      </c>
      <c r="B22" s="20" t="n">
        <v>0.1052029097469971</v>
      </c>
      <c r="C22" s="20" t="n">
        <v>0.08025350513072317</v>
      </c>
      <c r="D22" s="20" t="n">
        <v>0.05555360316890615</v>
      </c>
      <c r="E22" s="20" t="n">
        <v>0.036906630405111</v>
      </c>
      <c r="F22" s="20" t="n">
        <v>0.03219430287810523</v>
      </c>
    </row>
    <row r="23" ht="18.5" customHeight="1">
      <c r="A23" s="5" t="inlineStr">
        <is>
          <t xml:space="preserve">   Gross Profitability Operativa (Ex-Caja)</t>
        </is>
      </c>
      <c r="B23" s="20" t="n">
        <v>0.1289200674862719</v>
      </c>
      <c r="C23" s="20" t="n">
        <v>0.09290491454040635</v>
      </c>
      <c r="D23" s="20" t="n">
        <v>0.06455066026833672</v>
      </c>
      <c r="E23" s="20" t="n">
        <v>0.04272819586257942</v>
      </c>
      <c r="F23" s="20" t="n">
        <v>0.04185522766235579</v>
      </c>
    </row>
    <row r="24" ht="18.5" customHeight="1">
      <c r="A24" s="5" t="inlineStr">
        <is>
          <t xml:space="preserve">   Efecto Arrastre de Caja (Cash Drag)</t>
        </is>
      </c>
      <c r="B24" s="20" t="n">
        <v>0.02371715773927471</v>
      </c>
      <c r="C24" s="20" t="n">
        <v>0.01265140940968319</v>
      </c>
      <c r="D24" s="20" t="n">
        <v>0.008997057099430571</v>
      </c>
      <c r="E24" s="20" t="n">
        <v>0.005821565457468425</v>
      </c>
      <c r="F24" s="20" t="n">
        <v>0.009660924784250555</v>
      </c>
    </row>
    <row r="25" ht="18.5" customHeight="1">
      <c r="A25" s="5" t="inlineStr">
        <is>
          <t xml:space="preserve">   Margen Bruto de Utilidad (DuPont)</t>
        </is>
      </c>
      <c r="B25" s="20" t="n">
        <v>0.4561</v>
      </c>
      <c r="C25" s="20" t="n">
        <v>0.4348</v>
      </c>
      <c r="D25" s="20" t="n">
        <v>0.347</v>
      </c>
      <c r="E25" s="20" t="n">
        <v>0.4316</v>
      </c>
      <c r="F25" s="20" t="n">
        <v>0.4435</v>
      </c>
    </row>
    <row r="26" ht="18.5" customHeight="1">
      <c r="A26" s="5" t="inlineStr">
        <is>
          <t xml:space="preserve">   Rotación de Activos Totales (DuPont)</t>
        </is>
      </c>
      <c r="B26" s="22" t="n">
        <v>0.2306588219545393</v>
      </c>
      <c r="C26" s="22" t="n">
        <v>0.1845807421777269</v>
      </c>
      <c r="D26" s="22" t="n">
        <v>0.1600885749569933</v>
      </c>
      <c r="E26" s="22" t="n">
        <v>0.08550532636079909</v>
      </c>
      <c r="F26" s="22" t="n">
        <v>0.07259354457493168</v>
      </c>
    </row>
    <row r="27" ht="18.5" customHeight="1">
      <c r="A27" s="5" t="inlineStr">
        <is>
          <t xml:space="preserve">   Rotación de Activos Operativos (Ex-Caja)</t>
        </is>
      </c>
      <c r="B27" s="22" t="n">
        <v>0.2826590154606627</v>
      </c>
      <c r="C27" s="22" t="n">
        <v>0.2136786181475033</v>
      </c>
      <c r="D27" s="22" t="n">
        <v>0.1860153549981609</v>
      </c>
      <c r="E27" s="22" t="n">
        <v>0.09899273631688812</v>
      </c>
      <c r="F27" s="22" t="n">
        <v>0.09437754706182855</v>
      </c>
    </row>
    <row r="28" ht="10" customHeight="1"/>
    <row r="29" ht="22" customHeight="1">
      <c r="A29" s="18" t="inlineStr">
        <is>
          <t>RENDIMIENTO DEL CAPITAL Y CREACIÓN DE VALOR (ROIC AJUSTADO VS WACC)</t>
        </is>
      </c>
      <c r="B29" s="19" t="n"/>
      <c r="C29" s="19" t="n"/>
      <c r="D29" s="19" t="n"/>
      <c r="E29" s="19" t="n"/>
      <c r="F29" s="19" t="n"/>
    </row>
    <row r="30" ht="18.5" customHeight="1">
      <c r="A30" s="5" t="inlineStr">
        <is>
          <t xml:space="preserve">   ROIC Tradicional (NOPAT / Cap. Invertido)</t>
        </is>
      </c>
      <c r="B30" s="20" t="n">
        <v>0.105969678863438</v>
      </c>
      <c r="C30" s="20" t="n">
        <v>0.08708302474210998</v>
      </c>
      <c r="D30" s="20" t="n">
        <v>0.0612254407853263</v>
      </c>
      <c r="E30" s="20" t="n">
        <v>0.04638812559597069</v>
      </c>
      <c r="F30" s="20" t="n">
        <v>0.03306562985326107</v>
      </c>
    </row>
    <row r="31" ht="18.5" customHeight="1">
      <c r="A31" s="5" t="inlineStr">
        <is>
          <t xml:space="preserve">   ROIC Ajustado por Intangibles (Damodaran)</t>
        </is>
      </c>
      <c r="B31" s="20" t="n">
        <v>0.105969678863438</v>
      </c>
      <c r="C31" s="20" t="n">
        <v>0.08708302474210998</v>
      </c>
      <c r="D31" s="20" t="n">
        <v>0.0612254407853263</v>
      </c>
      <c r="E31" s="20" t="n">
        <v>0.04638812559597069</v>
      </c>
      <c r="F31" s="20" t="n">
        <v>0.03306562985326107</v>
      </c>
    </row>
    <row r="32" ht="18.5" customHeight="1">
      <c r="A32" s="5" t="inlineStr">
        <is>
          <t xml:space="preserve">   Stock de Intangibles Capitalizados ($M)</t>
        </is>
      </c>
      <c r="B32" s="23" t="n">
        <v>0</v>
      </c>
      <c r="C32" s="23" t="n">
        <v>0</v>
      </c>
      <c r="D32" s="23" t="n">
        <v>0</v>
      </c>
      <c r="E32" s="23" t="n">
        <v>0</v>
      </c>
      <c r="F32" s="23" t="n">
        <v>0</v>
      </c>
    </row>
    <row r="33" ht="18.5" customHeight="1">
      <c r="A33" s="5" t="inlineStr">
        <is>
          <t xml:space="preserve">   Capital Invertido Reconstituido Promedio ($M)</t>
        </is>
      </c>
      <c r="B33" s="23" t="n">
        <v>39160.2405</v>
      </c>
      <c r="C33" s="23" t="n">
        <v>31668.7825</v>
      </c>
      <c r="D33" s="23" t="n">
        <v>21457.781</v>
      </c>
      <c r="E33" s="23" t="n">
        <v>12481.738</v>
      </c>
      <c r="F33" s="23" t="n">
        <v>7810.469999999999</v>
      </c>
    </row>
    <row r="34" ht="18.5" customHeight="1">
      <c r="A34" s="5" t="inlineStr">
        <is>
          <t xml:space="preserve">   Costo Promedio Ponderado de Capital (WACC)</t>
        </is>
      </c>
      <c r="B34" s="20" t="n">
        <v>0.09426</v>
      </c>
      <c r="C34" s="20" t="n">
        <v>0.09426</v>
      </c>
      <c r="D34" s="20" t="n">
        <v>0.09426</v>
      </c>
      <c r="E34" s="20" t="n">
        <v>0.09426</v>
      </c>
      <c r="F34" s="20" t="n">
        <v>0.09426</v>
      </c>
    </row>
    <row r="35" ht="18.5" customHeight="1">
      <c r="A35" s="5" t="inlineStr">
        <is>
          <t xml:space="preserve">   Spread Económico (ROIC Ajustado - WACC)</t>
        </is>
      </c>
      <c r="B35" s="24" t="n">
        <v>0.01170967886343803</v>
      </c>
      <c r="C35" s="24" t="n">
        <v>-0.007176975257890017</v>
      </c>
      <c r="D35" s="24" t="n">
        <v>-0.03303455921467369</v>
      </c>
      <c r="E35" s="24" t="n">
        <v>-0.0478718744040293</v>
      </c>
      <c r="F35" s="24" t="n">
        <v>-0.06119437014673892</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42"/>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Estado de Resultados Oficial</t>
        </is>
      </c>
    </row>
    <row r="2" ht="18" customHeight="1">
      <c r="A2" s="2" t="inlineStr">
        <is>
          <t>Cifras expresadas en Millones de USD ($M), salvo BPA | US-GAAP Auditado</t>
        </is>
      </c>
    </row>
    <row r="3" ht="8" customHeight="1"/>
    <row r="4" ht="25" customHeight="1">
      <c r="A4" s="3" t="inlineStr">
        <is>
          <t>Concepto Contable</t>
        </is>
      </c>
      <c r="B4" s="4" t="inlineStr">
        <is>
          <t>FY2024</t>
        </is>
      </c>
      <c r="C4" s="4" t="inlineStr">
        <is>
          <t>FY2023</t>
        </is>
      </c>
      <c r="D4" s="4" t="inlineStr">
        <is>
          <t>FY2022</t>
        </is>
      </c>
      <c r="E4" s="4" t="inlineStr">
        <is>
          <t>FY2021</t>
        </is>
      </c>
      <c r="F4" s="4" t="inlineStr">
        <is>
          <t>FY2020</t>
        </is>
      </c>
    </row>
    <row r="5" ht="18.5" customHeight="1">
      <c r="A5" s="5" t="inlineStr">
        <is>
          <t>Total Revenue</t>
        </is>
      </c>
      <c r="B5" s="6" t="n">
        <v>11517.075</v>
      </c>
      <c r="C5" s="6" t="n">
        <v>8028.976</v>
      </c>
      <c r="D5" s="6" t="n">
        <v>4792.231</v>
      </c>
      <c r="E5" s="6" t="n">
        <v>1698.023</v>
      </c>
      <c r="F5" s="6" t="n">
        <v>737.133</v>
      </c>
    </row>
    <row r="6" ht="18.5" customHeight="1">
      <c r="A6" s="5" t="inlineStr">
        <is>
          <t>Additional Financial Items</t>
        </is>
      </c>
      <c r="B6" s="7" t="inlineStr">
        <is>
          <t>-</t>
        </is>
      </c>
      <c r="C6" s="7" t="inlineStr">
        <is>
          <t>-</t>
        </is>
      </c>
      <c r="D6" s="7" t="inlineStr">
        <is>
          <t>-</t>
        </is>
      </c>
      <c r="E6" s="7" t="inlineStr">
        <is>
          <t>-</t>
        </is>
      </c>
      <c r="F6" s="7" t="inlineStr">
        <is>
          <t>-</t>
        </is>
      </c>
    </row>
    <row r="7" ht="18.5" customHeight="1">
      <c r="A7" s="5" t="inlineStr">
        <is>
          <t>AverageEffectiveTaxRate</t>
        </is>
      </c>
      <c r="B7" s="6" t="n">
        <v>2.94e-07</v>
      </c>
      <c r="C7" s="6" t="n">
        <v>3.3e-07</v>
      </c>
      <c r="D7" s="6" t="n">
        <v>1.8e-07</v>
      </c>
      <c r="E7" s="6" t="n">
        <v>-2.8e-08</v>
      </c>
      <c r="F7" s="6" t="n">
        <v>-1.12e-07</v>
      </c>
    </row>
    <row r="8" ht="18.5" customHeight="1">
      <c r="A8" s="5" t="inlineStr">
        <is>
          <t>BasicEarningsLossPerShare</t>
        </is>
      </c>
      <c r="B8" s="6" t="n">
        <v>4.115e-07</v>
      </c>
      <c r="C8" s="6" t="n">
        <v>2.175e-07</v>
      </c>
      <c r="D8" s="7" t="inlineStr">
        <is>
          <t>-</t>
        </is>
      </c>
      <c r="E8" s="6" t="n">
        <v>-1.03e-07</v>
      </c>
      <c r="F8" s="6" t="n">
        <v>-1.304e-07</v>
      </c>
    </row>
    <row r="9" ht="18.5" customHeight="1">
      <c r="A9" s="5" t="inlineStr">
        <is>
          <t>CurrentTaxExpenseIncome</t>
        </is>
      </c>
      <c r="B9" s="6" t="n">
        <v>1536.521</v>
      </c>
      <c r="C9" s="6" t="n">
        <v>1184.23</v>
      </c>
      <c r="D9" s="6" t="n">
        <v>-473.345</v>
      </c>
      <c r="E9" s="6" t="n">
        <v>219.824</v>
      </c>
      <c r="F9" s="6" t="n">
        <v>22.338</v>
      </c>
    </row>
    <row r="10" ht="18.5" customHeight="1">
      <c r="A10" s="5" t="inlineStr">
        <is>
          <t>DeferredTaxExpenseIncome</t>
        </is>
      </c>
      <c r="B10" s="6" t="n">
        <v>-713.4349999999999</v>
      </c>
      <c r="C10" s="6" t="n">
        <v>-675.682</v>
      </c>
      <c r="D10" s="6" t="n">
        <v>417.612</v>
      </c>
      <c r="E10" s="6" t="n">
        <v>224.654</v>
      </c>
      <c r="F10" s="6" t="n">
        <v>44.025</v>
      </c>
    </row>
    <row r="11" ht="18.5" customHeight="1">
      <c r="A11" s="5" t="inlineStr">
        <is>
          <t>DilutedEarningsLossPerShare</t>
        </is>
      </c>
      <c r="B11" s="6" t="n">
        <v>4.034e-07</v>
      </c>
      <c r="C11" s="6" t="n">
        <v>2.121e-07</v>
      </c>
      <c r="D11" s="7" t="inlineStr">
        <is>
          <t>-</t>
        </is>
      </c>
      <c r="E11" s="6" t="n">
        <v>1.602126</v>
      </c>
      <c r="F11" s="6" t="n">
        <v>1.315578</v>
      </c>
    </row>
    <row r="12" ht="18.5" customHeight="1">
      <c r="A12" s="5" t="inlineStr">
        <is>
          <t>DonationsAndSubsidiesExpense</t>
        </is>
      </c>
      <c r="B12" s="6" t="n">
        <v>32.863</v>
      </c>
      <c r="C12" s="7" t="inlineStr">
        <is>
          <t>-</t>
        </is>
      </c>
      <c r="D12" s="7" t="inlineStr">
        <is>
          <t>-</t>
        </is>
      </c>
      <c r="E12" s="7" t="inlineStr">
        <is>
          <t>-</t>
        </is>
      </c>
      <c r="F12" s="7" t="inlineStr">
        <is>
          <t>-</t>
        </is>
      </c>
    </row>
    <row r="13" ht="18.5" customHeight="1">
      <c r="A13" s="5" t="inlineStr">
        <is>
          <t>ExpenseFromSharebasedPaymentTransactionsWithEmployees</t>
        </is>
      </c>
      <c r="B13" s="6" t="n">
        <v>-372.669</v>
      </c>
      <c r="C13" s="6" t="n">
        <v>255.614</v>
      </c>
      <c r="D13" s="6" t="n">
        <v>286.45</v>
      </c>
      <c r="E13" s="6" t="n">
        <v>225.445</v>
      </c>
      <c r="F13" s="6" t="n">
        <v>56.273</v>
      </c>
    </row>
    <row r="14" ht="18.5" customHeight="1">
      <c r="A14" s="5" t="inlineStr">
        <is>
          <t>GeneralAndAdministrativeExpense</t>
        </is>
      </c>
      <c r="B14" s="7" t="inlineStr">
        <is>
          <t>-</t>
        </is>
      </c>
      <c r="C14" s="7" t="inlineStr">
        <is>
          <t>-</t>
        </is>
      </c>
      <c r="D14" s="6" t="n">
        <v>-1333.267</v>
      </c>
      <c r="E14" s="6" t="n">
        <v>-628.901</v>
      </c>
      <c r="F14" s="6" t="n">
        <v>-266.024</v>
      </c>
    </row>
    <row r="15" ht="18.5" customHeight="1">
      <c r="A15" s="8" t="inlineStr">
        <is>
          <t>GrossProfit</t>
        </is>
      </c>
      <c r="B15" s="9" t="n">
        <v>5252.909</v>
      </c>
      <c r="C15" s="9" t="n">
        <v>3490.903</v>
      </c>
      <c r="D15" s="9" t="n">
        <v>1662.99</v>
      </c>
      <c r="E15" s="9" t="n">
        <v>732.917</v>
      </c>
      <c r="F15" s="9" t="n">
        <v>326.909</v>
      </c>
    </row>
    <row r="16" ht="18.5" customHeight="1">
      <c r="A16" s="5" t="inlineStr">
        <is>
          <t>IncomeTaxExpenseContinuingOperations</t>
        </is>
      </c>
      <c r="B16" s="6" t="n">
        <v>823.086</v>
      </c>
      <c r="C16" s="6" t="n">
        <v>508.548</v>
      </c>
      <c r="D16" s="6" t="n">
        <v>-55.733</v>
      </c>
      <c r="E16" s="6" t="n">
        <v>4.83</v>
      </c>
      <c r="F16" s="6" t="n">
        <v>21.687</v>
      </c>
    </row>
    <row r="17" ht="18.5" customHeight="1">
      <c r="A17" s="5" t="inlineStr">
        <is>
          <t>InterestExpense</t>
        </is>
      </c>
      <c r="B17" s="6" t="n">
        <v>2834.859</v>
      </c>
      <c r="C17" s="6" t="n">
        <v>2036.925</v>
      </c>
      <c r="D17" s="6" t="n">
        <v>1547.903</v>
      </c>
      <c r="E17" s="6" t="n">
        <v>-367.344</v>
      </c>
      <c r="F17" s="6" t="n">
        <v>-113.924</v>
      </c>
    </row>
    <row r="18" ht="18.5" customHeight="1">
      <c r="A18" s="5" t="inlineStr">
        <is>
          <t>ProfessionalFeesExpense</t>
        </is>
      </c>
      <c r="B18" s="7" t="inlineStr">
        <is>
          <t>-</t>
        </is>
      </c>
      <c r="C18" s="6" t="n">
        <v>88.357</v>
      </c>
      <c r="D18" s="6" t="n">
        <v>83.997</v>
      </c>
      <c r="E18" s="6" t="n">
        <v>55.045</v>
      </c>
      <c r="F18" s="6" t="n">
        <v>39.563</v>
      </c>
    </row>
    <row r="19" ht="18.5" customHeight="1">
      <c r="A19" s="5" t="inlineStr">
        <is>
          <t>ProfitLossAttributableToNoncontrollingInterests</t>
        </is>
      </c>
      <c r="B19" s="7" t="inlineStr">
        <is>
          <t>-</t>
        </is>
      </c>
      <c r="C19" s="7" t="inlineStr">
        <is>
          <t>-</t>
        </is>
      </c>
      <c r="D19" s="6" t="n">
        <v>-0.056</v>
      </c>
      <c r="E19" s="6" t="n">
        <v>-0.341</v>
      </c>
      <c r="F19" s="7" t="inlineStr">
        <is>
          <t>-</t>
        </is>
      </c>
    </row>
    <row r="20" ht="18.5" customHeight="1">
      <c r="A20" s="5" t="inlineStr">
        <is>
          <t>ProfitLossAttributableToOwnersOfParent</t>
        </is>
      </c>
      <c r="B20" s="6" t="n">
        <v>1972.112</v>
      </c>
      <c r="C20" s="6" t="n">
        <v>1030.53</v>
      </c>
      <c r="D20" s="6" t="n">
        <v>-364.578</v>
      </c>
      <c r="E20" s="6" t="n">
        <v>-164.993</v>
      </c>
      <c r="F20" s="6" t="n">
        <v>-171.491</v>
      </c>
    </row>
    <row r="21" ht="18.5" customHeight="1">
      <c r="A21" s="5" t="inlineStr">
        <is>
          <t>ProfitLossBeforeTax</t>
        </is>
      </c>
      <c r="B21" s="6" t="n">
        <v>2795.198</v>
      </c>
      <c r="C21" s="6" t="n">
        <v>1539.078</v>
      </c>
      <c r="D21" s="6" t="n">
        <v>-308.901</v>
      </c>
      <c r="E21" s="6" t="n">
        <v>-170.164</v>
      </c>
      <c r="F21" s="6" t="n">
        <v>-193.178</v>
      </c>
    </row>
    <row r="22" ht="18.5" customHeight="1">
      <c r="A22" s="5" t="inlineStr">
        <is>
          <t>SellingExpense</t>
        </is>
      </c>
      <c r="B22" s="7" t="inlineStr">
        <is>
          <t>-</t>
        </is>
      </c>
      <c r="C22" s="6" t="n">
        <v>146.655</v>
      </c>
      <c r="D22" s="6" t="n">
        <v>136.142</v>
      </c>
      <c r="E22" s="6" t="n">
        <v>71.77500000000001</v>
      </c>
      <c r="F22" s="6" t="n">
        <v>16.479</v>
      </c>
    </row>
    <row r="23" ht="18.5" customHeight="1">
      <c r="A23" s="5" t="inlineStr">
        <is>
          <t>TaxRateEffectOfForeignTaxRates</t>
        </is>
      </c>
      <c r="B23" s="6" t="n">
        <v>4e-07</v>
      </c>
      <c r="C23" s="6" t="n">
        <v>4e-07</v>
      </c>
      <c r="D23" s="7" t="inlineStr">
        <is>
          <t>-</t>
        </is>
      </c>
      <c r="E23" s="7" t="inlineStr">
        <is>
          <t>-</t>
        </is>
      </c>
      <c r="F23" s="7" t="inlineStr">
        <is>
          <t>-</t>
        </is>
      </c>
    </row>
    <row r="24" ht="18.5" customHeight="1">
      <c r="A24" s="5" t="inlineStr">
        <is>
          <t>Interest income and gains net of losses on financial instruments</t>
        </is>
      </c>
      <c r="B24" s="6" t="n">
        <v>9631.043</v>
      </c>
      <c r="C24" s="6" t="n">
        <v>6439.712</v>
      </c>
      <c r="D24" s="7" t="inlineStr">
        <is>
          <t>-</t>
        </is>
      </c>
      <c r="E24" s="7" t="inlineStr">
        <is>
          <t>-</t>
        </is>
      </c>
      <c r="F24" s="7" t="inlineStr">
        <is>
          <t>-</t>
        </is>
      </c>
    </row>
    <row r="25" ht="18.5" customHeight="1">
      <c r="A25" s="5" t="inlineStr">
        <is>
          <t>Fee and commission income</t>
        </is>
      </c>
      <c r="B25" s="6" t="n">
        <v>1886.032</v>
      </c>
      <c r="C25" s="6" t="n">
        <v>1589.264</v>
      </c>
      <c r="D25" s="7" t="inlineStr">
        <is>
          <t>-</t>
        </is>
      </c>
      <c r="E25" s="7" t="inlineStr">
        <is>
          <t>-</t>
        </is>
      </c>
      <c r="F25" s="7" t="inlineStr">
        <is>
          <t>-</t>
        </is>
      </c>
    </row>
    <row r="26" ht="18.5" customHeight="1">
      <c r="A26" s="5" t="inlineStr">
        <is>
          <t>Transactional expenses</t>
        </is>
      </c>
      <c r="B26" s="6" t="n">
        <v>-260.324</v>
      </c>
      <c r="C26" s="6" t="n">
        <v>-215.93</v>
      </c>
      <c r="D26" s="7" t="inlineStr">
        <is>
          <t>-</t>
        </is>
      </c>
      <c r="E26" s="7" t="inlineStr">
        <is>
          <t>-</t>
        </is>
      </c>
      <c r="F26" s="7" t="inlineStr">
        <is>
          <t>-</t>
        </is>
      </c>
    </row>
    <row r="27" ht="18.5" customHeight="1">
      <c r="A27" s="5" t="inlineStr">
        <is>
          <t>Expected credit loss</t>
        </is>
      </c>
      <c r="B27" s="6" t="n">
        <v>-3168.983</v>
      </c>
      <c r="C27" s="6" t="n">
        <v>-2285.218</v>
      </c>
      <c r="D27" s="7" t="inlineStr">
        <is>
          <t>-</t>
        </is>
      </c>
      <c r="E27" s="7" t="inlineStr">
        <is>
          <t>-</t>
        </is>
      </c>
      <c r="F27" s="7" t="inlineStr">
        <is>
          <t>-</t>
        </is>
      </c>
    </row>
    <row r="28" ht="18.5" customHeight="1">
      <c r="A28" s="5" t="inlineStr">
        <is>
          <t>Total cost of financial and transactional services provided</t>
        </is>
      </c>
      <c r="B28" s="6" t="n">
        <v>-6264.166</v>
      </c>
      <c r="C28" s="6" t="n">
        <v>-4538.073</v>
      </c>
      <c r="D28" s="7" t="inlineStr">
        <is>
          <t>-</t>
        </is>
      </c>
      <c r="E28" s="7" t="inlineStr">
        <is>
          <t>-</t>
        </is>
      </c>
      <c r="F28" s="7" t="inlineStr">
        <is>
          <t>-</t>
        </is>
      </c>
    </row>
    <row r="29" ht="18.5" customHeight="1">
      <c r="A29" s="5" t="inlineStr">
        <is>
          <t>Customer support and operations</t>
        </is>
      </c>
      <c r="B29" s="6" t="n">
        <v>-604.643</v>
      </c>
      <c r="C29" s="6" t="n">
        <v>-488.082</v>
      </c>
      <c r="D29" s="7" t="inlineStr">
        <is>
          <t>-</t>
        </is>
      </c>
      <c r="E29" s="7" t="inlineStr">
        <is>
          <t>-</t>
        </is>
      </c>
      <c r="F29" s="7" t="inlineStr">
        <is>
          <t>-</t>
        </is>
      </c>
    </row>
    <row r="30" ht="18.5" customHeight="1">
      <c r="A30" s="5" t="inlineStr">
        <is>
          <t>General and administrative expenses</t>
        </is>
      </c>
      <c r="B30" s="6" t="n">
        <v>-1256.086</v>
      </c>
      <c r="C30" s="6" t="n">
        <v>-1042.29</v>
      </c>
      <c r="D30" s="7" t="inlineStr">
        <is>
          <t>-</t>
        </is>
      </c>
      <c r="E30" s="7" t="inlineStr">
        <is>
          <t>-</t>
        </is>
      </c>
      <c r="F30" s="7" t="inlineStr">
        <is>
          <t>-</t>
        </is>
      </c>
    </row>
    <row r="31" ht="18.5" customHeight="1">
      <c r="A31" s="5" t="inlineStr">
        <is>
          <t>Marketing expenses</t>
        </is>
      </c>
      <c r="B31" s="6" t="n">
        <v>-246.396</v>
      </c>
      <c r="C31" s="6" t="n">
        <v>-171.022</v>
      </c>
      <c r="D31" s="7" t="inlineStr">
        <is>
          <t>-</t>
        </is>
      </c>
      <c r="E31" s="7" t="inlineStr">
        <is>
          <t>-</t>
        </is>
      </c>
      <c r="F31" s="7" t="inlineStr">
        <is>
          <t>-</t>
        </is>
      </c>
    </row>
    <row r="32" ht="18.5" customHeight="1">
      <c r="A32" s="5" t="inlineStr">
        <is>
          <t>Other expenses</t>
        </is>
      </c>
      <c r="B32" s="6" t="n">
        <v>-406.627</v>
      </c>
      <c r="C32" s="6" t="n">
        <v>-278.184</v>
      </c>
      <c r="D32" s="7" t="inlineStr">
        <is>
          <t>-</t>
        </is>
      </c>
      <c r="E32" s="7" t="inlineStr">
        <is>
          <t>-</t>
        </is>
      </c>
      <c r="F32" s="7" t="inlineStr">
        <is>
          <t>-</t>
        </is>
      </c>
    </row>
    <row r="33" ht="18.5" customHeight="1">
      <c r="A33" s="5" t="inlineStr">
        <is>
          <t>Non-Operating Income (Expense)</t>
        </is>
      </c>
      <c r="B33" s="6" t="n">
        <v>56.041</v>
      </c>
      <c r="C33" s="6" t="n">
        <v>27.753</v>
      </c>
      <c r="D33" s="7" t="inlineStr">
        <is>
          <t>-</t>
        </is>
      </c>
      <c r="E33" s="7" t="inlineStr">
        <is>
          <t>-</t>
        </is>
      </c>
      <c r="F33" s="7" t="inlineStr">
        <is>
          <t>-</t>
        </is>
      </c>
    </row>
    <row r="34" ht="18.5" customHeight="1">
      <c r="A34" s="5" t="inlineStr">
        <is>
          <t>Total operating (expenses) income</t>
        </is>
      </c>
      <c r="B34" s="6" t="n">
        <v>-2457.711</v>
      </c>
      <c r="C34" s="6" t="n">
        <v>-1951.825</v>
      </c>
      <c r="D34" s="7" t="inlineStr">
        <is>
          <t>-</t>
        </is>
      </c>
      <c r="E34" s="7" t="inlineStr">
        <is>
          <t>-</t>
        </is>
      </c>
      <c r="F34" s="7" t="inlineStr">
        <is>
          <t>-</t>
        </is>
      </c>
    </row>
    <row r="35" ht="18.5" customHeight="1">
      <c r="A35" s="5" t="inlineStr">
        <is>
          <t>Net income for the year</t>
        </is>
      </c>
      <c r="B35" s="6" t="n">
        <v>1972.112</v>
      </c>
      <c r="C35" s="6" t="n">
        <v>1030.53</v>
      </c>
      <c r="D35" s="7" t="inlineStr">
        <is>
          <t>-</t>
        </is>
      </c>
      <c r="E35" s="7" t="inlineStr">
        <is>
          <t>-</t>
        </is>
      </c>
      <c r="F35" s="7" t="inlineStr">
        <is>
          <t>-</t>
        </is>
      </c>
    </row>
    <row r="36" ht="18.5" customHeight="1">
      <c r="A36" s="5" t="inlineStr">
        <is>
          <t>Net income for the year</t>
        </is>
      </c>
      <c r="B36" s="6" t="n">
        <v>1972.112</v>
      </c>
      <c r="C36" s="6" t="n">
        <v>1030.53</v>
      </c>
      <c r="D36" s="7" t="inlineStr">
        <is>
          <t>-</t>
        </is>
      </c>
      <c r="E36" s="7" t="inlineStr">
        <is>
          <t>-</t>
        </is>
      </c>
      <c r="F36" s="7" t="inlineStr">
        <is>
          <t>-</t>
        </is>
      </c>
    </row>
    <row r="37" ht="18.5" customHeight="1">
      <c r="A37" s="5" t="inlineStr">
        <is>
          <t>Weighted Average Shares Outstanding</t>
        </is>
      </c>
      <c r="B37" s="6" t="n">
        <v>4792.081</v>
      </c>
      <c r="C37" s="6" t="n">
        <v>4738.841</v>
      </c>
      <c r="D37" s="7" t="inlineStr">
        <is>
          <t>-</t>
        </is>
      </c>
      <c r="E37" s="7" t="inlineStr">
        <is>
          <t>-</t>
        </is>
      </c>
      <c r="F37" s="7" t="inlineStr">
        <is>
          <t>-</t>
        </is>
      </c>
    </row>
    <row r="38" ht="18.5" customHeight="1">
      <c r="A38" s="5" t="inlineStr">
        <is>
          <t>Weighted Average Shares Outstanding, Diluted</t>
        </is>
      </c>
      <c r="B38" s="6" t="n">
        <v>4888.918</v>
      </c>
      <c r="C38" s="6" t="n">
        <v>4857.579</v>
      </c>
      <c r="D38" s="7" t="inlineStr">
        <is>
          <t>-</t>
        </is>
      </c>
      <c r="E38" s="7" t="inlineStr">
        <is>
          <t>-</t>
        </is>
      </c>
      <c r="F38" s="7" t="inlineStr">
        <is>
          <t>-</t>
        </is>
      </c>
    </row>
    <row r="39" ht="10" customHeight="1"/>
    <row r="40" ht="22" customHeight="1">
      <c r="A40" s="18" t="inlineStr">
        <is>
          <t>INFORMACIÓN POR ACCIÓN NORMALIZADA (SPLIT-ADJUSTED)</t>
        </is>
      </c>
      <c r="B40" s="19" t="n"/>
      <c r="C40" s="19" t="n"/>
      <c r="D40" s="19" t="n"/>
      <c r="E40" s="19" t="n"/>
      <c r="F40" s="19" t="n"/>
    </row>
    <row r="41" ht="18.5" customHeight="1">
      <c r="A41" s="8" t="inlineStr">
        <is>
          <t xml:space="preserve">   BPA Diluido Normalizado (Split-Adjusted)</t>
        </is>
      </c>
      <c r="B41" s="15" t="n">
        <v>0.4</v>
      </c>
      <c r="C41" s="15" t="n">
        <v>0.21</v>
      </c>
      <c r="D41" s="15" t="n">
        <v>-0.08</v>
      </c>
      <c r="E41" s="15" t="n">
        <v>1602126</v>
      </c>
      <c r="F41" s="15" t="n">
        <v>1315578</v>
      </c>
    </row>
    <row r="42" ht="18.5" customHeight="1">
      <c r="A42" s="5" t="inlineStr">
        <is>
          <t xml:space="preserve">   Acciones Diluidas Ponderadas (Millones)</t>
        </is>
      </c>
      <c r="B42" s="7" t="inlineStr">
        <is>
          <t>-</t>
        </is>
      </c>
      <c r="C42" s="7" t="inlineStr">
        <is>
          <t>-</t>
        </is>
      </c>
      <c r="D42" s="7" t="inlineStr">
        <is>
          <t>-</t>
        </is>
      </c>
      <c r="E42" s="7" t="inlineStr">
        <is>
          <t>-</t>
        </is>
      </c>
      <c r="F42" s="7"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Balance Patrimonial Oficial</t>
        </is>
      </c>
    </row>
    <row r="2" ht="18" customHeight="1">
      <c r="A2" s="2" t="inlineStr">
        <is>
          <t>Cifras expresadas en Millones de USD ($M) | Estructura contable de Activos, Pasivos y Patrimonio</t>
        </is>
      </c>
    </row>
    <row r="3" ht="8" customHeight="1"/>
    <row r="4" ht="25" customHeight="1">
      <c r="A4" s="3" t="inlineStr">
        <is>
          <t>Concepto Patrimonial</t>
        </is>
      </c>
      <c r="B4" s="4" t="inlineStr">
        <is>
          <t>FY2024</t>
        </is>
      </c>
      <c r="C4" s="4" t="inlineStr">
        <is>
          <t>FY2023</t>
        </is>
      </c>
      <c r="D4" s="4" t="inlineStr">
        <is>
          <t>FY2022</t>
        </is>
      </c>
      <c r="E4" s="4" t="inlineStr">
        <is>
          <t>FY2021</t>
        </is>
      </c>
      <c r="F4" s="4" t="inlineStr">
        <is>
          <t>FY2020</t>
        </is>
      </c>
    </row>
    <row r="5" ht="22" customHeight="1">
      <c r="A5" s="18" t="inlineStr">
        <is>
          <t>ASSETS</t>
        </is>
      </c>
      <c r="B5" s="19" t="n"/>
      <c r="C5" s="19" t="n"/>
      <c r="D5" s="19" t="n"/>
      <c r="E5" s="19" t="n"/>
      <c r="F5" s="19" t="n"/>
    </row>
    <row r="6" ht="18.5" customHeight="1">
      <c r="A6" s="25" t="inlineStr">
        <is>
          <t xml:space="preserve">   Total Assets</t>
        </is>
      </c>
      <c r="B6" s="26" t="n">
        <v>49931.214</v>
      </c>
      <c r="C6" s="26" t="n">
        <v>43498.449</v>
      </c>
      <c r="D6" s="26" t="n">
        <v>29934.872</v>
      </c>
      <c r="E6" s="26" t="n">
        <v>19858.681</v>
      </c>
      <c r="F6" s="26" t="n">
        <v>10154.25</v>
      </c>
    </row>
    <row r="7" ht="18.5" customHeight="1">
      <c r="A7" s="5" t="inlineStr">
        <is>
          <t xml:space="preserve">   Goodwill</t>
        </is>
      </c>
      <c r="B7" s="6" t="n">
        <v>414.287</v>
      </c>
      <c r="C7" s="6" t="n">
        <v>397.538</v>
      </c>
      <c r="D7" s="6" t="n">
        <v>397.397</v>
      </c>
      <c r="E7" s="6" t="n">
        <v>401.872</v>
      </c>
      <c r="F7" s="6" t="n">
        <v>0.831</v>
      </c>
    </row>
    <row r="8" ht="22" customHeight="1">
      <c r="A8" s="18" t="inlineStr">
        <is>
          <t>LIABILITIES AND EQUITY</t>
        </is>
      </c>
      <c r="B8" s="19" t="n"/>
      <c r="C8" s="19" t="n"/>
      <c r="D8" s="19" t="n"/>
      <c r="E8" s="19" t="n"/>
      <c r="F8" s="19" t="n"/>
    </row>
    <row r="9" ht="18.5" customHeight="1">
      <c r="A9" s="13" t="inlineStr">
        <is>
          <t xml:space="preserve">   Total Liabilities</t>
        </is>
      </c>
      <c r="B9" s="14" t="n">
        <v>42284.138</v>
      </c>
      <c r="C9" s="14" t="n">
        <v>37092.064</v>
      </c>
      <c r="D9" s="14" t="n">
        <v>25044.089</v>
      </c>
      <c r="E9" s="14" t="n">
        <v>15416.14</v>
      </c>
      <c r="F9" s="14" t="n">
        <v>9716.138999999999</v>
      </c>
    </row>
    <row r="10" ht="18.5" customHeight="1">
      <c r="A10" s="5" t="inlineStr">
        <is>
          <t xml:space="preserve">   Additional Financial Items</t>
        </is>
      </c>
      <c r="B10" s="7" t="inlineStr">
        <is>
          <t>-</t>
        </is>
      </c>
      <c r="C10" s="7" t="inlineStr">
        <is>
          <t>-</t>
        </is>
      </c>
      <c r="D10" s="7" t="inlineStr">
        <is>
          <t>-</t>
        </is>
      </c>
      <c r="E10" s="7" t="inlineStr">
        <is>
          <t>-</t>
        </is>
      </c>
      <c r="F10" s="7" t="inlineStr">
        <is>
          <t>-</t>
        </is>
      </c>
    </row>
    <row r="11" ht="18.5" customHeight="1">
      <c r="A11" s="13" t="inlineStr">
        <is>
          <t xml:space="preserve">   AllowanceAccountForCreditLossesOfFinancialAssets</t>
        </is>
      </c>
      <c r="B11" s="17" t="inlineStr">
        <is>
          <t>-</t>
        </is>
      </c>
      <c r="C11" s="14" t="n">
        <v>1.417</v>
      </c>
      <c r="D11" s="17" t="inlineStr">
        <is>
          <t>-</t>
        </is>
      </c>
      <c r="E11" s="17" t="inlineStr">
        <is>
          <t>-</t>
        </is>
      </c>
      <c r="F11" s="17" t="inlineStr">
        <is>
          <t>-</t>
        </is>
      </c>
    </row>
    <row r="12" ht="18.5" customHeight="1">
      <c r="A12" s="13" t="inlineStr">
        <is>
          <t xml:space="preserve">   DeferredTaxAssets</t>
        </is>
      </c>
      <c r="B12" s="14" t="n">
        <v>1818.339</v>
      </c>
      <c r="C12" s="14" t="n">
        <v>1537.835</v>
      </c>
      <c r="D12" s="14" t="n">
        <v>811.05</v>
      </c>
      <c r="E12" s="14" t="n">
        <v>360.752</v>
      </c>
      <c r="F12" s="14" t="n">
        <v>125.131</v>
      </c>
    </row>
    <row r="13" ht="18.5" customHeight="1">
      <c r="A13" s="13" t="inlineStr">
        <is>
          <t xml:space="preserve">   DeferredTaxLiabilities</t>
        </is>
      </c>
      <c r="B13" s="17" t="inlineStr">
        <is>
          <t>-</t>
        </is>
      </c>
      <c r="C13" s="17" t="inlineStr">
        <is>
          <t>-</t>
        </is>
      </c>
      <c r="D13" s="14" t="n">
        <v>41.118</v>
      </c>
      <c r="E13" s="14" t="n">
        <v>29.334</v>
      </c>
      <c r="F13" s="14" t="n">
        <v>8.741</v>
      </c>
    </row>
    <row r="14" ht="18.5" customHeight="1">
      <c r="A14" s="13" t="inlineStr">
        <is>
          <t xml:space="preserve">   IntangibleAssetsOtherThanGoodwill</t>
        </is>
      </c>
      <c r="B14" s="14" t="n">
        <v>347.616</v>
      </c>
      <c r="C14" s="14" t="n">
        <v>295.881</v>
      </c>
      <c r="D14" s="14" t="n">
        <v>182.164</v>
      </c>
      <c r="E14" s="14" t="n">
        <v>72.337</v>
      </c>
      <c r="F14" s="14" t="n">
        <v>12.372</v>
      </c>
    </row>
    <row r="15" ht="18.5" customHeight="1">
      <c r="A15" s="5" t="inlineStr">
        <is>
          <t xml:space="preserve">   IssuedCapital</t>
        </is>
      </c>
      <c r="B15" s="6" t="n">
        <v>0.08400000000000001</v>
      </c>
      <c r="C15" s="6" t="n">
        <v>0.08400000000000001</v>
      </c>
      <c r="D15" s="6" t="n">
        <v>0.083</v>
      </c>
      <c r="E15" s="6" t="n">
        <v>0.083</v>
      </c>
      <c r="F15" s="6" t="n">
        <v>0.045</v>
      </c>
    </row>
    <row r="16" ht="18.5" customHeight="1">
      <c r="A16" s="5" t="inlineStr">
        <is>
          <t xml:space="preserve">   NoncontrollingInterests</t>
        </is>
      </c>
      <c r="B16" s="6" t="n">
        <v>0.787</v>
      </c>
      <c r="C16" s="7" t="inlineStr">
        <is>
          <t>-</t>
        </is>
      </c>
      <c r="D16" s="7" t="inlineStr">
        <is>
          <t>-</t>
        </is>
      </c>
      <c r="E16" s="6" t="n">
        <v>1.509</v>
      </c>
      <c r="F16" s="7" t="inlineStr">
        <is>
          <t>-</t>
        </is>
      </c>
    </row>
    <row r="17" ht="18.5" customHeight="1">
      <c r="A17" s="5" t="inlineStr">
        <is>
          <t xml:space="preserve">   TradeAndOtherCurrentReceivables</t>
        </is>
      </c>
      <c r="B17" s="6" t="n">
        <v>6100.636</v>
      </c>
      <c r="C17" s="6" t="n">
        <v>6296.788</v>
      </c>
      <c r="D17" s="6" t="n">
        <v>4236.235</v>
      </c>
      <c r="E17" s="6" t="n">
        <v>2341.492</v>
      </c>
      <c r="F17" s="6" t="n">
        <v>1475.417</v>
      </c>
    </row>
    <row r="18" ht="18.5" customHeight="1">
      <c r="A18" s="5" t="inlineStr">
        <is>
          <t xml:space="preserve">   TradeAndOtherReceivables</t>
        </is>
      </c>
      <c r="B18" s="6" t="n">
        <v>14619.312</v>
      </c>
      <c r="C18" s="6" t="n">
        <v>14488.304</v>
      </c>
      <c r="D18" s="6" t="n">
        <v>9266.225</v>
      </c>
      <c r="E18" s="6" t="n">
        <v>5162.153</v>
      </c>
      <c r="F18" s="6" t="n">
        <v>3118.872</v>
      </c>
    </row>
    <row r="19" ht="18.5" customHeight="1">
      <c r="A19" s="5" t="inlineStr">
        <is>
          <t xml:space="preserve">   Cash and Cash Equivalents</t>
        </is>
      </c>
      <c r="B19" s="6" t="n">
        <v>9185.742</v>
      </c>
      <c r="C19" s="7" t="inlineStr">
        <is>
          <t>-</t>
        </is>
      </c>
      <c r="D19" s="7" t="inlineStr">
        <is>
          <t>-</t>
        </is>
      </c>
      <c r="E19" s="7" t="inlineStr">
        <is>
          <t>-</t>
        </is>
      </c>
      <c r="F19" s="7" t="inlineStr">
        <is>
          <t>-</t>
        </is>
      </c>
    </row>
    <row r="20" ht="18.5" customHeight="1">
      <c r="A20" s="13" t="inlineStr">
        <is>
          <t xml:space="preserve">   Financial assets at fair value through profit or loss</t>
        </is>
      </c>
      <c r="B20" s="14" t="n">
        <v>740.706</v>
      </c>
      <c r="C20" s="17" t="inlineStr">
        <is>
          <t>-</t>
        </is>
      </c>
      <c r="D20" s="17" t="inlineStr">
        <is>
          <t>-</t>
        </is>
      </c>
      <c r="E20" s="17" t="inlineStr">
        <is>
          <t>-</t>
        </is>
      </c>
      <c r="F20" s="17" t="inlineStr">
        <is>
          <t>-</t>
        </is>
      </c>
    </row>
    <row r="21" ht="18.5" customHeight="1">
      <c r="A21" s="5" t="inlineStr">
        <is>
          <t xml:space="preserve">   Securities</t>
        </is>
      </c>
      <c r="B21" s="6" t="n">
        <v>665.242</v>
      </c>
      <c r="C21" s="7" t="inlineStr">
        <is>
          <t>-</t>
        </is>
      </c>
      <c r="D21" s="7" t="inlineStr">
        <is>
          <t>-</t>
        </is>
      </c>
      <c r="E21" s="7" t="inlineStr">
        <is>
          <t>-</t>
        </is>
      </c>
      <c r="F21" s="7" t="inlineStr">
        <is>
          <t>-</t>
        </is>
      </c>
    </row>
    <row r="22" ht="18.5" customHeight="1">
      <c r="A22" s="5" t="inlineStr">
        <is>
          <t xml:space="preserve">   Derivatives</t>
        </is>
      </c>
      <c r="B22" s="6" t="n">
        <v>75.464</v>
      </c>
      <c r="C22" s="7" t="inlineStr">
        <is>
          <t>-</t>
        </is>
      </c>
      <c r="D22" s="7" t="inlineStr">
        <is>
          <t>-</t>
        </is>
      </c>
      <c r="E22" s="7" t="inlineStr">
        <is>
          <t>-</t>
        </is>
      </c>
      <c r="F22" s="7" t="inlineStr">
        <is>
          <t>-</t>
        </is>
      </c>
    </row>
    <row r="23" ht="18.5" customHeight="1">
      <c r="A23" s="13" t="inlineStr">
        <is>
          <t xml:space="preserve">   Financial assets at fair value through other comprehensive income</t>
        </is>
      </c>
      <c r="B23" s="14" t="n">
        <v>9913.517</v>
      </c>
      <c r="C23" s="17" t="inlineStr">
        <is>
          <t>-</t>
        </is>
      </c>
      <c r="D23" s="17" t="inlineStr">
        <is>
          <t>-</t>
        </is>
      </c>
      <c r="E23" s="17" t="inlineStr">
        <is>
          <t>-</t>
        </is>
      </c>
      <c r="F23" s="17" t="inlineStr">
        <is>
          <t>-</t>
        </is>
      </c>
    </row>
    <row r="24" ht="18.5" customHeight="1">
      <c r="A24" s="5" t="inlineStr">
        <is>
          <t xml:space="preserve">   Securities</t>
        </is>
      </c>
      <c r="B24" s="6" t="n">
        <v>9913.517</v>
      </c>
      <c r="C24" s="7" t="inlineStr">
        <is>
          <t>-</t>
        </is>
      </c>
      <c r="D24" s="7" t="inlineStr">
        <is>
          <t>-</t>
        </is>
      </c>
      <c r="E24" s="7" t="inlineStr">
        <is>
          <t>-</t>
        </is>
      </c>
      <c r="F24" s="7" t="inlineStr">
        <is>
          <t>-</t>
        </is>
      </c>
    </row>
    <row r="25" ht="18.5" customHeight="1">
      <c r="A25" s="13" t="inlineStr">
        <is>
          <t xml:space="preserve">   Financial assets at amortized cost</t>
        </is>
      </c>
      <c r="B25" s="14" t="n">
        <v>26701.841</v>
      </c>
      <c r="C25" s="17" t="inlineStr">
        <is>
          <t>-</t>
        </is>
      </c>
      <c r="D25" s="17" t="inlineStr">
        <is>
          <t>-</t>
        </is>
      </c>
      <c r="E25" s="17" t="inlineStr">
        <is>
          <t>-</t>
        </is>
      </c>
      <c r="F25" s="17" t="inlineStr">
        <is>
          <t>-</t>
        </is>
      </c>
    </row>
    <row r="26" ht="18.5" customHeight="1">
      <c r="A26" s="5" t="inlineStr">
        <is>
          <t xml:space="preserve">   Credit card receivables</t>
        </is>
      </c>
      <c r="B26" s="6" t="n">
        <v>12259.276</v>
      </c>
      <c r="C26" s="7" t="inlineStr">
        <is>
          <t>-</t>
        </is>
      </c>
      <c r="D26" s="7" t="inlineStr">
        <is>
          <t>-</t>
        </is>
      </c>
      <c r="E26" s="7" t="inlineStr">
        <is>
          <t>-</t>
        </is>
      </c>
      <c r="F26" s="7" t="inlineStr">
        <is>
          <t>-</t>
        </is>
      </c>
    </row>
    <row r="27" ht="18.5" customHeight="1">
      <c r="A27" s="5" t="inlineStr">
        <is>
          <t xml:space="preserve">   Loans to customers</t>
        </is>
      </c>
      <c r="B27" s="6" t="n">
        <v>5321.885</v>
      </c>
      <c r="C27" s="7" t="inlineStr">
        <is>
          <t>-</t>
        </is>
      </c>
      <c r="D27" s="7" t="inlineStr">
        <is>
          <t>-</t>
        </is>
      </c>
      <c r="E27" s="7" t="inlineStr">
        <is>
          <t>-</t>
        </is>
      </c>
      <c r="F27" s="7" t="inlineStr">
        <is>
          <t>-</t>
        </is>
      </c>
    </row>
    <row r="28" ht="18.5" customHeight="1">
      <c r="A28" s="5" t="inlineStr">
        <is>
          <t xml:space="preserve">   Compulsory and other deposits at central banks</t>
        </is>
      </c>
      <c r="B28" s="6" t="n">
        <v>6743.336</v>
      </c>
      <c r="C28" s="7" t="inlineStr">
        <is>
          <t>-</t>
        </is>
      </c>
      <c r="D28" s="7" t="inlineStr">
        <is>
          <t>-</t>
        </is>
      </c>
      <c r="E28" s="7" t="inlineStr">
        <is>
          <t>-</t>
        </is>
      </c>
      <c r="F28" s="7" t="inlineStr">
        <is>
          <t>-</t>
        </is>
      </c>
    </row>
    <row r="29" ht="18.5" customHeight="1">
      <c r="A29" s="5" t="inlineStr">
        <is>
          <t xml:space="preserve">   Securities</t>
        </is>
      </c>
      <c r="B29" s="6" t="n">
        <v>885.418</v>
      </c>
      <c r="C29" s="7" t="inlineStr">
        <is>
          <t>-</t>
        </is>
      </c>
      <c r="D29" s="7" t="inlineStr">
        <is>
          <t>-</t>
        </is>
      </c>
      <c r="E29" s="7" t="inlineStr">
        <is>
          <t>-</t>
        </is>
      </c>
      <c r="F29" s="7" t="inlineStr">
        <is>
          <t>-</t>
        </is>
      </c>
    </row>
    <row r="30" ht="18.5" customHeight="1">
      <c r="A30" s="5" t="inlineStr">
        <is>
          <t xml:space="preserve">   Other Non-Operating Current Assets</t>
        </is>
      </c>
      <c r="B30" s="6" t="n">
        <v>1413.443</v>
      </c>
      <c r="C30" s="7" t="inlineStr">
        <is>
          <t>-</t>
        </is>
      </c>
      <c r="D30" s="7" t="inlineStr">
        <is>
          <t>-</t>
        </is>
      </c>
      <c r="E30" s="7" t="inlineStr">
        <is>
          <t>-</t>
        </is>
      </c>
      <c r="F30" s="7" t="inlineStr">
        <is>
          <t>-</t>
        </is>
      </c>
    </row>
    <row r="31" ht="18.5" customHeight="1">
      <c r="A31" s="13" t="inlineStr">
        <is>
          <t xml:space="preserve">   Other financial assets</t>
        </is>
      </c>
      <c r="B31" s="14" t="n">
        <v>78.483</v>
      </c>
      <c r="C31" s="17" t="inlineStr">
        <is>
          <t>-</t>
        </is>
      </c>
      <c r="D31" s="17" t="inlineStr">
        <is>
          <t>-</t>
        </is>
      </c>
      <c r="E31" s="17" t="inlineStr">
        <is>
          <t>-</t>
        </is>
      </c>
      <c r="F31" s="17" t="inlineStr">
        <is>
          <t>-</t>
        </is>
      </c>
    </row>
    <row r="32" ht="18.5" customHeight="1">
      <c r="A32" s="13" t="inlineStr">
        <is>
          <t xml:space="preserve">   Other Non-Operating Current Assets</t>
        </is>
      </c>
      <c r="B32" s="14" t="n">
        <v>663.578</v>
      </c>
      <c r="C32" s="17" t="inlineStr">
        <is>
          <t>-</t>
        </is>
      </c>
      <c r="D32" s="17" t="inlineStr">
        <is>
          <t>-</t>
        </is>
      </c>
      <c r="E32" s="17" t="inlineStr">
        <is>
          <t>-</t>
        </is>
      </c>
      <c r="F32" s="17" t="inlineStr">
        <is>
          <t>-</t>
        </is>
      </c>
    </row>
    <row r="33" ht="18.5" customHeight="1">
      <c r="A33" s="5" t="inlineStr">
        <is>
          <t xml:space="preserve">   Investments in associates</t>
        </is>
      </c>
      <c r="B33" s="6" t="n">
        <v>99.36499999999999</v>
      </c>
      <c r="C33" s="7" t="inlineStr">
        <is>
          <t>-</t>
        </is>
      </c>
      <c r="D33" s="7" t="inlineStr">
        <is>
          <t>-</t>
        </is>
      </c>
      <c r="E33" s="7" t="inlineStr">
        <is>
          <t>-</t>
        </is>
      </c>
      <c r="F33" s="7" t="inlineStr">
        <is>
          <t>-</t>
        </is>
      </c>
    </row>
    <row r="34" ht="18.5" customHeight="1">
      <c r="A34" s="13" t="inlineStr">
        <is>
          <t xml:space="preserve">   Operating Lease Right-of-Use Asset</t>
        </is>
      </c>
      <c r="B34" s="14" t="n">
        <v>20.344</v>
      </c>
      <c r="C34" s="17" t="inlineStr">
        <is>
          <t>-</t>
        </is>
      </c>
      <c r="D34" s="17" t="inlineStr">
        <is>
          <t>-</t>
        </is>
      </c>
      <c r="E34" s="17" t="inlineStr">
        <is>
          <t>-</t>
        </is>
      </c>
      <c r="F34" s="17" t="inlineStr">
        <is>
          <t>-</t>
        </is>
      </c>
    </row>
    <row r="35" ht="18.5" customHeight="1">
      <c r="A35" s="5" t="inlineStr">
        <is>
          <t xml:space="preserve">   Property, Plant and Equipment</t>
        </is>
      </c>
      <c r="B35" s="6" t="n">
        <v>25.879</v>
      </c>
      <c r="C35" s="7" t="inlineStr">
        <is>
          <t>-</t>
        </is>
      </c>
      <c r="D35" s="7" t="inlineStr">
        <is>
          <t>-</t>
        </is>
      </c>
      <c r="E35" s="7" t="inlineStr">
        <is>
          <t>-</t>
        </is>
      </c>
      <c r="F35" s="7" t="inlineStr">
        <is>
          <t>-</t>
        </is>
      </c>
    </row>
    <row r="36" ht="18.5" customHeight="1">
      <c r="A36" s="13" t="inlineStr">
        <is>
          <t xml:space="preserve">   Financial liabilities at fair value through profit or loss</t>
        </is>
      </c>
      <c r="B36" s="14" t="n">
        <v>32.329</v>
      </c>
      <c r="C36" s="17" t="inlineStr">
        <is>
          <t>-</t>
        </is>
      </c>
      <c r="D36" s="17" t="inlineStr">
        <is>
          <t>-</t>
        </is>
      </c>
      <c r="E36" s="17" t="inlineStr">
        <is>
          <t>-</t>
        </is>
      </c>
      <c r="F36" s="17" t="inlineStr">
        <is>
          <t>-</t>
        </is>
      </c>
    </row>
    <row r="37" ht="18.5" customHeight="1">
      <c r="A37" s="13" t="inlineStr">
        <is>
          <t xml:space="preserve">   Derivatives</t>
        </is>
      </c>
      <c r="B37" s="14" t="n">
        <v>32.329</v>
      </c>
      <c r="C37" s="17" t="inlineStr">
        <is>
          <t>-</t>
        </is>
      </c>
      <c r="D37" s="17" t="inlineStr">
        <is>
          <t>-</t>
        </is>
      </c>
      <c r="E37" s="17" t="inlineStr">
        <is>
          <t>-</t>
        </is>
      </c>
      <c r="F37" s="17" t="inlineStr">
        <is>
          <t>-</t>
        </is>
      </c>
    </row>
    <row r="38" ht="18.5" customHeight="1">
      <c r="A38" s="13" t="inlineStr">
        <is>
          <t xml:space="preserve">   Financial liabilities at amortized cost</t>
        </is>
      </c>
      <c r="B38" s="14" t="n">
        <v>40227.546</v>
      </c>
      <c r="C38" s="17" t="inlineStr">
        <is>
          <t>-</t>
        </is>
      </c>
      <c r="D38" s="17" t="inlineStr">
        <is>
          <t>-</t>
        </is>
      </c>
      <c r="E38" s="17" t="inlineStr">
        <is>
          <t>-</t>
        </is>
      </c>
      <c r="F38" s="17" t="inlineStr">
        <is>
          <t>-</t>
        </is>
      </c>
    </row>
    <row r="39" ht="18.5" customHeight="1">
      <c r="A39" s="5" t="inlineStr">
        <is>
          <t xml:space="preserve">   Deposits</t>
        </is>
      </c>
      <c r="B39" s="6" t="n">
        <v>28855.065</v>
      </c>
      <c r="C39" s="7" t="inlineStr">
        <is>
          <t>-</t>
        </is>
      </c>
      <c r="D39" s="7" t="inlineStr">
        <is>
          <t>-</t>
        </is>
      </c>
      <c r="E39" s="7" t="inlineStr">
        <is>
          <t>-</t>
        </is>
      </c>
      <c r="F39" s="7" t="inlineStr">
        <is>
          <t>-</t>
        </is>
      </c>
    </row>
    <row r="40" ht="18.5" customHeight="1">
      <c r="A40" s="5" t="inlineStr">
        <is>
          <t xml:space="preserve">   Payables to network</t>
        </is>
      </c>
      <c r="B40" s="6" t="n">
        <v>9333.540999999999</v>
      </c>
      <c r="C40" s="7" t="inlineStr">
        <is>
          <t>-</t>
        </is>
      </c>
      <c r="D40" s="7" t="inlineStr">
        <is>
          <t>-</t>
        </is>
      </c>
      <c r="E40" s="7" t="inlineStr">
        <is>
          <t>-</t>
        </is>
      </c>
      <c r="F40" s="7" t="inlineStr">
        <is>
          <t>-</t>
        </is>
      </c>
    </row>
    <row r="41" ht="18.5" customHeight="1">
      <c r="A41" s="5" t="inlineStr">
        <is>
          <t xml:space="preserve">   Borrowings and financing (i)</t>
        </is>
      </c>
      <c r="B41" s="6" t="n">
        <v>1730.357</v>
      </c>
      <c r="C41" s="7" t="inlineStr">
        <is>
          <t>-</t>
        </is>
      </c>
      <c r="D41" s="7" t="inlineStr">
        <is>
          <t>-</t>
        </is>
      </c>
      <c r="E41" s="7" t="inlineStr">
        <is>
          <t>-</t>
        </is>
      </c>
      <c r="F41" s="7" t="inlineStr">
        <is>
          <t>-</t>
        </is>
      </c>
    </row>
    <row r="42" ht="18.5" customHeight="1">
      <c r="A42" s="5" t="inlineStr">
        <is>
          <t xml:space="preserve">   Repurchase agreements</t>
        </is>
      </c>
      <c r="B42" s="6" t="n">
        <v>308.583</v>
      </c>
      <c r="C42" s="7" t="inlineStr">
        <is>
          <t>-</t>
        </is>
      </c>
      <c r="D42" s="7" t="inlineStr">
        <is>
          <t>-</t>
        </is>
      </c>
      <c r="E42" s="7" t="inlineStr">
        <is>
          <t>-</t>
        </is>
      </c>
      <c r="F42" s="7" t="inlineStr">
        <is>
          <t>-</t>
        </is>
      </c>
    </row>
    <row r="43" ht="18.5" customHeight="1">
      <c r="A43" s="5" t="inlineStr">
        <is>
          <t xml:space="preserve">   Salaries, allowances and social security contributions</t>
        </is>
      </c>
      <c r="B43" s="6" t="n">
        <v>180.181</v>
      </c>
      <c r="C43" s="7" t="inlineStr">
        <is>
          <t>-</t>
        </is>
      </c>
      <c r="D43" s="7" t="inlineStr">
        <is>
          <t>-</t>
        </is>
      </c>
      <c r="E43" s="7" t="inlineStr">
        <is>
          <t>-</t>
        </is>
      </c>
      <c r="F43" s="7" t="inlineStr">
        <is>
          <t>-</t>
        </is>
      </c>
    </row>
    <row r="44" ht="18.5" customHeight="1">
      <c r="A44" s="13" t="inlineStr">
        <is>
          <t xml:space="preserve">   Tax liabilities</t>
        </is>
      </c>
      <c r="B44" s="14" t="n">
        <v>1102.086</v>
      </c>
      <c r="C44" s="17" t="inlineStr">
        <is>
          <t>-</t>
        </is>
      </c>
      <c r="D44" s="17" t="inlineStr">
        <is>
          <t>-</t>
        </is>
      </c>
      <c r="E44" s="17" t="inlineStr">
        <is>
          <t>-</t>
        </is>
      </c>
      <c r="F44" s="17" t="inlineStr">
        <is>
          <t>-</t>
        </is>
      </c>
    </row>
    <row r="45" ht="18.5" customHeight="1">
      <c r="A45" s="13" t="inlineStr">
        <is>
          <t xml:space="preserve">   Lease liabilities</t>
        </is>
      </c>
      <c r="B45" s="14" t="n">
        <v>26.197</v>
      </c>
      <c r="C45" s="17" t="inlineStr">
        <is>
          <t>-</t>
        </is>
      </c>
      <c r="D45" s="17" t="inlineStr">
        <is>
          <t>-</t>
        </is>
      </c>
      <c r="E45" s="17" t="inlineStr">
        <is>
          <t>-</t>
        </is>
      </c>
      <c r="F45" s="17" t="inlineStr">
        <is>
          <t>-</t>
        </is>
      </c>
    </row>
    <row r="46" ht="18.5" customHeight="1">
      <c r="A46" s="5" t="inlineStr">
        <is>
          <t xml:space="preserve">   Provisions and contingent liabilities</t>
        </is>
      </c>
      <c r="B46" s="6" t="n">
        <v>22.551</v>
      </c>
      <c r="C46" s="7" t="inlineStr">
        <is>
          <t>-</t>
        </is>
      </c>
      <c r="D46" s="7" t="inlineStr">
        <is>
          <t>-</t>
        </is>
      </c>
      <c r="E46" s="7" t="inlineStr">
        <is>
          <t>-</t>
        </is>
      </c>
      <c r="F46" s="7" t="inlineStr">
        <is>
          <t>-</t>
        </is>
      </c>
    </row>
    <row r="47" ht="18.5" customHeight="1">
      <c r="A47" s="13" t="inlineStr">
        <is>
          <t xml:space="preserve">   Deferred income</t>
        </is>
      </c>
      <c r="B47" s="14" t="n">
        <v>71.636</v>
      </c>
      <c r="C47" s="17" t="inlineStr">
        <is>
          <t>-</t>
        </is>
      </c>
      <c r="D47" s="17" t="inlineStr">
        <is>
          <t>-</t>
        </is>
      </c>
      <c r="E47" s="17" t="inlineStr">
        <is>
          <t>-</t>
        </is>
      </c>
      <c r="F47" s="17" t="inlineStr">
        <is>
          <t>-</t>
        </is>
      </c>
    </row>
    <row r="48" ht="18.5" customHeight="1">
      <c r="A48" s="13" t="inlineStr">
        <is>
          <t xml:space="preserve">   Other Non-Operating Current Liabilities</t>
        </is>
      </c>
      <c r="B48" s="14" t="n">
        <v>621.612</v>
      </c>
      <c r="C48" s="17" t="inlineStr">
        <is>
          <t>-</t>
        </is>
      </c>
      <c r="D48" s="17" t="inlineStr">
        <is>
          <t>-</t>
        </is>
      </c>
      <c r="E48" s="17" t="inlineStr">
        <is>
          <t>-</t>
        </is>
      </c>
      <c r="F48" s="17" t="inlineStr">
        <is>
          <t>-</t>
        </is>
      </c>
    </row>
    <row r="49" ht="18.5" customHeight="1">
      <c r="A49" s="5" t="inlineStr">
        <is>
          <t xml:space="preserve">   Additional Paid-In Capital</t>
        </is>
      </c>
      <c r="B49" s="6" t="n">
        <v>5053.776</v>
      </c>
      <c r="C49" s="7" t="inlineStr">
        <is>
          <t>-</t>
        </is>
      </c>
      <c r="D49" s="7" t="inlineStr">
        <is>
          <t>-</t>
        </is>
      </c>
      <c r="E49" s="7" t="inlineStr">
        <is>
          <t>-</t>
        </is>
      </c>
      <c r="F49" s="7" t="inlineStr">
        <is>
          <t>-</t>
        </is>
      </c>
    </row>
    <row r="50" ht="18.5" customHeight="1">
      <c r="A50" s="5" t="inlineStr">
        <is>
          <t xml:space="preserve">   Retained Earnings</t>
        </is>
      </c>
      <c r="B50" s="6" t="n">
        <v>3420.596</v>
      </c>
      <c r="C50" s="7" t="inlineStr">
        <is>
          <t>-</t>
        </is>
      </c>
      <c r="D50" s="7" t="inlineStr">
        <is>
          <t>-</t>
        </is>
      </c>
      <c r="E50" s="7" t="inlineStr">
        <is>
          <t>-</t>
        </is>
      </c>
      <c r="F50" s="7" t="inlineStr">
        <is>
          <t>-</t>
        </is>
      </c>
    </row>
    <row r="51" ht="18.5" customHeight="1">
      <c r="A51" s="5" t="inlineStr">
        <is>
          <t xml:space="preserve">   Accumulated Other Comprehensive Income</t>
        </is>
      </c>
      <c r="B51" s="6" t="n">
        <v>-828.167</v>
      </c>
      <c r="C51" s="7" t="inlineStr">
        <is>
          <t>-</t>
        </is>
      </c>
      <c r="D51" s="7" t="inlineStr">
        <is>
          <t>-</t>
        </is>
      </c>
      <c r="E51" s="7" t="inlineStr">
        <is>
          <t>-</t>
        </is>
      </c>
      <c r="F51" s="7" t="inlineStr">
        <is>
          <t>-</t>
        </is>
      </c>
    </row>
    <row r="52" ht="18.5" customHeight="1">
      <c r="A52" s="5" t="inlineStr">
        <is>
          <t xml:space="preserve">   Equity attributable to shareholders of the parent company</t>
        </is>
      </c>
      <c r="B52" s="6" t="n">
        <v>7646.289</v>
      </c>
      <c r="C52" s="7" t="inlineStr">
        <is>
          <t>-</t>
        </is>
      </c>
      <c r="D52" s="7" t="inlineStr">
        <is>
          <t>-</t>
        </is>
      </c>
      <c r="E52" s="7" t="inlineStr">
        <is>
          <t>-</t>
        </is>
      </c>
      <c r="F52" s="7" t="inlineStr">
        <is>
          <t>-</t>
        </is>
      </c>
    </row>
    <row r="53" ht="18.5" customHeight="1">
      <c r="A53" s="5" t="inlineStr">
        <is>
          <t xml:space="preserve">   Total equity</t>
        </is>
      </c>
      <c r="B53" s="6" t="n">
        <v>7647.076</v>
      </c>
      <c r="C53" s="7" t="inlineStr">
        <is>
          <t>-</t>
        </is>
      </c>
      <c r="D53" s="7" t="inlineStr">
        <is>
          <t>-</t>
        </is>
      </c>
      <c r="E53" s="7" t="inlineStr">
        <is>
          <t>-</t>
        </is>
      </c>
      <c r="F53" s="7" t="inlineStr">
        <is>
          <t>-</t>
        </is>
      </c>
    </row>
    <row r="54" ht="18.5" customHeight="1">
      <c r="A54" s="13" t="inlineStr">
        <is>
          <t xml:space="preserve">   Total liabilities and equity</t>
        </is>
      </c>
      <c r="B54" s="14" t="n">
        <v>49931.214</v>
      </c>
      <c r="C54" s="17" t="inlineStr">
        <is>
          <t>-</t>
        </is>
      </c>
      <c r="D54" s="17" t="inlineStr">
        <is>
          <t>-</t>
        </is>
      </c>
      <c r="E54" s="17" t="inlineStr">
        <is>
          <t>-</t>
        </is>
      </c>
      <c r="F54" s="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Estado de Flujos de Efectivo</t>
        </is>
      </c>
    </row>
    <row r="2" ht="18" customHeight="1">
      <c r="A2" s="2" t="inlineStr">
        <is>
          <t>Cifras expresadas en Millones de USD ($M) | Conciliación de CFO, CFI y CFF</t>
        </is>
      </c>
    </row>
    <row r="3" ht="8" customHeight="1"/>
    <row r="4" ht="25" customHeight="1">
      <c r="A4" s="3" t="inlineStr">
        <is>
          <t>Actividad / Flujo de Fondos</t>
        </is>
      </c>
      <c r="B4" s="4" t="inlineStr">
        <is>
          <t>FY2024</t>
        </is>
      </c>
      <c r="C4" s="4" t="inlineStr">
        <is>
          <t>FY2023</t>
        </is>
      </c>
      <c r="D4" s="4" t="inlineStr">
        <is>
          <t>FY2022</t>
        </is>
      </c>
      <c r="E4" s="4" t="inlineStr">
        <is>
          <t>FY2021</t>
        </is>
      </c>
      <c r="F4" s="4" t="inlineStr">
        <is>
          <t>FY2020</t>
        </is>
      </c>
    </row>
    <row r="5" ht="22" customHeight="1">
      <c r="A5" s="18" t="inlineStr">
        <is>
          <t>Cash flows from operating activities:</t>
        </is>
      </c>
      <c r="B5" s="19" t="n"/>
      <c r="C5" s="19" t="n"/>
      <c r="D5" s="19" t="n"/>
      <c r="E5" s="19" t="n"/>
      <c r="F5" s="19" t="n"/>
    </row>
    <row r="6" ht="18.5" customHeight="1">
      <c r="A6" s="5" t="inlineStr">
        <is>
          <t xml:space="preserve">   Profit or Loss</t>
        </is>
      </c>
      <c r="B6" s="6" t="n">
        <v>1972.112</v>
      </c>
      <c r="C6" s="6" t="n">
        <v>1030.53</v>
      </c>
      <c r="D6" s="6" t="n">
        <v>-364.634</v>
      </c>
      <c r="E6" s="6" t="n">
        <v>-165.334</v>
      </c>
      <c r="F6" s="6" t="n">
        <v>-171.491</v>
      </c>
    </row>
    <row r="7" ht="18.5" customHeight="1">
      <c r="A7" s="5" t="inlineStr">
        <is>
          <t xml:space="preserve">   Additional Financial Items</t>
        </is>
      </c>
      <c r="B7" s="7" t="inlineStr">
        <is>
          <t>-</t>
        </is>
      </c>
      <c r="C7" s="7" t="inlineStr">
        <is>
          <t>-</t>
        </is>
      </c>
      <c r="D7" s="7" t="inlineStr">
        <is>
          <t>-</t>
        </is>
      </c>
      <c r="E7" s="7" t="inlineStr">
        <is>
          <t>-</t>
        </is>
      </c>
      <c r="F7" s="7" t="inlineStr">
        <is>
          <t>-</t>
        </is>
      </c>
    </row>
    <row r="8" ht="18.5" customHeight="1">
      <c r="A8" s="5" t="inlineStr">
        <is>
          <t xml:space="preserve">   AdjustmentsForSharebasedPayments</t>
        </is>
      </c>
      <c r="B8" s="6" t="n">
        <v>272.382</v>
      </c>
      <c r="C8" s="6" t="n">
        <v>212.551</v>
      </c>
      <c r="D8" s="6" t="n">
        <v>253.203</v>
      </c>
      <c r="E8" s="6" t="n">
        <v>157.324</v>
      </c>
      <c r="F8" s="6" t="n">
        <v>35.569</v>
      </c>
    </row>
    <row r="9" ht="18.5" customHeight="1">
      <c r="A9" s="5" t="inlineStr">
        <is>
          <t xml:space="preserve">   GeneralAndAdministrativeExpense</t>
        </is>
      </c>
      <c r="B9" s="7" t="inlineStr">
        <is>
          <t>-</t>
        </is>
      </c>
      <c r="C9" s="7" t="inlineStr">
        <is>
          <t>-</t>
        </is>
      </c>
      <c r="D9" s="6" t="n">
        <v>-1333.267</v>
      </c>
      <c r="E9" s="6" t="n">
        <v>-628.901</v>
      </c>
      <c r="F9" s="6" t="n">
        <v>-266.024</v>
      </c>
    </row>
    <row r="10" ht="18.5" customHeight="1">
      <c r="A10" s="5" t="inlineStr">
        <is>
          <t xml:space="preserve">   Goodwill</t>
        </is>
      </c>
      <c r="B10" s="6" t="n">
        <v>414.287</v>
      </c>
      <c r="C10" s="6" t="n">
        <v>397.538</v>
      </c>
      <c r="D10" s="6" t="n">
        <v>397.397</v>
      </c>
      <c r="E10" s="6" t="n">
        <v>401.872</v>
      </c>
      <c r="F10" s="6" t="n">
        <v>0.831</v>
      </c>
    </row>
    <row r="11" ht="18.5" customHeight="1">
      <c r="A11" s="5" t="inlineStr">
        <is>
          <t xml:space="preserve">   RepaymentsOfBorrowingsClassifiedAsFinancingActivities</t>
        </is>
      </c>
      <c r="B11" s="7" t="inlineStr">
        <is>
          <t>-</t>
        </is>
      </c>
      <c r="C11" s="7" t="inlineStr">
        <is>
          <t>-</t>
        </is>
      </c>
      <c r="D11" s="6" t="n">
        <v>10.633</v>
      </c>
      <c r="E11" s="6" t="n">
        <v>-66.40300000000001</v>
      </c>
      <c r="F11" s="6" t="n">
        <v>-52.172</v>
      </c>
    </row>
    <row r="12" ht="18.5" customHeight="1">
      <c r="A12" s="5" t="inlineStr">
        <is>
          <t xml:space="preserve">   Net income for the year</t>
        </is>
      </c>
      <c r="B12" s="6" t="n">
        <v>1972.112</v>
      </c>
      <c r="C12" s="6" t="n">
        <v>1030.53</v>
      </c>
      <c r="D12" s="7" t="inlineStr">
        <is>
          <t>-</t>
        </is>
      </c>
      <c r="E12" s="7" t="inlineStr">
        <is>
          <t>-</t>
        </is>
      </c>
      <c r="F12" s="7" t="inlineStr">
        <is>
          <t>-</t>
        </is>
      </c>
    </row>
    <row r="13" ht="18.5" customHeight="1">
      <c r="A13" s="5" t="inlineStr">
        <is>
          <t xml:space="preserve">   Depreciation &amp; Amortization (CF)</t>
        </is>
      </c>
      <c r="B13" s="6" t="n">
        <v>77.128</v>
      </c>
      <c r="C13" s="6" t="n">
        <v>62.895</v>
      </c>
      <c r="D13" s="7" t="inlineStr">
        <is>
          <t>-</t>
        </is>
      </c>
      <c r="E13" s="7" t="inlineStr">
        <is>
          <t>-</t>
        </is>
      </c>
      <c r="F13" s="7" t="inlineStr">
        <is>
          <t>-</t>
        </is>
      </c>
    </row>
    <row r="14" ht="18.5" customHeight="1">
      <c r="A14" s="5" t="inlineStr">
        <is>
          <t xml:space="preserve">   Expected credit loss</t>
        </is>
      </c>
      <c r="B14" s="6" t="n">
        <v>3469.044</v>
      </c>
      <c r="C14" s="6" t="n">
        <v>2487.648</v>
      </c>
      <c r="D14" s="7" t="inlineStr">
        <is>
          <t>-</t>
        </is>
      </c>
      <c r="E14" s="7" t="inlineStr">
        <is>
          <t>-</t>
        </is>
      </c>
      <c r="F14" s="7" t="inlineStr">
        <is>
          <t>-</t>
        </is>
      </c>
    </row>
    <row r="15" ht="18.5" customHeight="1">
      <c r="A15" s="5" t="inlineStr">
        <is>
          <t xml:space="preserve">   Net Cash from Operating Activities</t>
        </is>
      </c>
      <c r="B15" s="6" t="n">
        <v>-713.4349999999999</v>
      </c>
      <c r="C15" s="6" t="n">
        <v>-675.682</v>
      </c>
      <c r="D15" s="7" t="inlineStr">
        <is>
          <t>-</t>
        </is>
      </c>
      <c r="E15" s="7" t="inlineStr">
        <is>
          <t>-</t>
        </is>
      </c>
      <c r="F15" s="7" t="inlineStr">
        <is>
          <t>-</t>
        </is>
      </c>
    </row>
    <row r="16" ht="18.5" customHeight="1">
      <c r="A16" s="5" t="inlineStr">
        <is>
          <t xml:space="preserve">   Provisions and contingent liabilities</t>
        </is>
      </c>
      <c r="B16" s="6" t="n">
        <v>18.406</v>
      </c>
      <c r="C16" s="6" t="n">
        <v>17.098</v>
      </c>
      <c r="D16" s="7" t="inlineStr">
        <is>
          <t>-</t>
        </is>
      </c>
      <c r="E16" s="7" t="inlineStr">
        <is>
          <t>-</t>
        </is>
      </c>
      <c r="F16" s="7" t="inlineStr">
        <is>
          <t>-</t>
        </is>
      </c>
    </row>
    <row r="17" ht="18.5" customHeight="1">
      <c r="A17" s="5" t="inlineStr">
        <is>
          <t xml:space="preserve">   Unrealized (gains) losses on financial instruments</t>
        </is>
      </c>
      <c r="B17" s="6" t="n">
        <v>47.933</v>
      </c>
      <c r="C17" s="6" t="n">
        <v>15.885</v>
      </c>
      <c r="D17" s="7" t="inlineStr">
        <is>
          <t>-</t>
        </is>
      </c>
      <c r="E17" s="7" t="inlineStr">
        <is>
          <t>-</t>
        </is>
      </c>
      <c r="F17" s="7" t="inlineStr">
        <is>
          <t>-</t>
        </is>
      </c>
    </row>
    <row r="18" ht="18.5" customHeight="1">
      <c r="A18" s="5" t="inlineStr">
        <is>
          <t xml:space="preserve">   Interest accrued</t>
        </is>
      </c>
      <c r="B18" s="6" t="n">
        <v>179.203</v>
      </c>
      <c r="C18" s="6" t="n">
        <v>103.572</v>
      </c>
      <c r="D18" s="7" t="inlineStr">
        <is>
          <t>-</t>
        </is>
      </c>
      <c r="E18" s="7" t="inlineStr">
        <is>
          <t>-</t>
        </is>
      </c>
      <c r="F18" s="7" t="inlineStr">
        <is>
          <t>-</t>
        </is>
      </c>
    </row>
    <row r="19" ht="18.5" customHeight="1">
      <c r="A19" s="5" t="inlineStr">
        <is>
          <t xml:space="preserve">   Others</t>
        </is>
      </c>
      <c r="B19" s="6" t="n">
        <v>-2.723</v>
      </c>
      <c r="C19" s="6" t="n">
        <v>23.076</v>
      </c>
      <c r="D19" s="7" t="inlineStr">
        <is>
          <t>-</t>
        </is>
      </c>
      <c r="E19" s="7" t="inlineStr">
        <is>
          <t>-</t>
        </is>
      </c>
      <c r="F19" s="7" t="inlineStr">
        <is>
          <t>-</t>
        </is>
      </c>
    </row>
    <row r="20" ht="18.5" customHeight="1">
      <c r="A20" s="5" t="inlineStr">
        <is>
          <t xml:space="preserve">   Net Cash from Operating Activities</t>
        </is>
      </c>
      <c r="B20" s="6" t="n">
        <v>5320.05</v>
      </c>
      <c r="C20" s="6" t="n">
        <v>3277.573</v>
      </c>
      <c r="D20" s="7" t="inlineStr">
        <is>
          <t>-</t>
        </is>
      </c>
      <c r="E20" s="7" t="inlineStr">
        <is>
          <t>-</t>
        </is>
      </c>
      <c r="F20" s="7" t="inlineStr">
        <is>
          <t>-</t>
        </is>
      </c>
    </row>
    <row r="21" ht="18.5" customHeight="1">
      <c r="A21" s="5" t="inlineStr">
        <is>
          <t xml:space="preserve">   Securities</t>
        </is>
      </c>
      <c r="B21" s="6" t="n">
        <v>-2552.241</v>
      </c>
      <c r="C21" s="6" t="n">
        <v>699.076</v>
      </c>
      <c r="D21" s="7" t="inlineStr">
        <is>
          <t>-</t>
        </is>
      </c>
      <c r="E21" s="7" t="inlineStr">
        <is>
          <t>-</t>
        </is>
      </c>
      <c r="F21" s="7" t="inlineStr">
        <is>
          <t>-</t>
        </is>
      </c>
    </row>
    <row r="22" ht="18.5" customHeight="1">
      <c r="A22" s="5" t="inlineStr">
        <is>
          <t xml:space="preserve">   Credit card receivables</t>
        </is>
      </c>
      <c r="B22" s="6" t="n">
        <v>-5873.063</v>
      </c>
      <c r="C22" s="6" t="n">
        <v>-7878.307</v>
      </c>
      <c r="D22" s="7" t="inlineStr">
        <is>
          <t>-</t>
        </is>
      </c>
      <c r="E22" s="7" t="inlineStr">
        <is>
          <t>-</t>
        </is>
      </c>
      <c r="F22" s="7" t="inlineStr">
        <is>
          <t>-</t>
        </is>
      </c>
    </row>
    <row r="23" ht="18.5" customHeight="1">
      <c r="A23" s="5" t="inlineStr">
        <is>
          <t xml:space="preserve">   Loans to customers</t>
        </is>
      </c>
      <c r="B23" s="6" t="n">
        <v>-7024.003</v>
      </c>
      <c r="C23" s="6" t="n">
        <v>-3577.534</v>
      </c>
      <c r="D23" s="7" t="inlineStr">
        <is>
          <t>-</t>
        </is>
      </c>
      <c r="E23" s="7" t="inlineStr">
        <is>
          <t>-</t>
        </is>
      </c>
      <c r="F23" s="7" t="inlineStr">
        <is>
          <t>-</t>
        </is>
      </c>
    </row>
    <row r="24" ht="18.5" customHeight="1">
      <c r="A24" s="5" t="inlineStr">
        <is>
          <t xml:space="preserve">   Other receivables</t>
        </is>
      </c>
      <c r="B24" s="6" t="n">
        <v>385.192</v>
      </c>
      <c r="C24" s="6" t="n">
        <v>-1136.488</v>
      </c>
      <c r="D24" s="7" t="inlineStr">
        <is>
          <t>-</t>
        </is>
      </c>
      <c r="E24" s="7" t="inlineStr">
        <is>
          <t>-</t>
        </is>
      </c>
      <c r="F24" s="7" t="inlineStr">
        <is>
          <t>-</t>
        </is>
      </c>
    </row>
    <row r="25" ht="18.5" customHeight="1">
      <c r="A25" s="5" t="inlineStr">
        <is>
          <t xml:space="preserve">   Compulsory and other deposits at central banks</t>
        </is>
      </c>
      <c r="B25" s="6" t="n">
        <v>805.963</v>
      </c>
      <c r="C25" s="6" t="n">
        <v>-4540.463</v>
      </c>
      <c r="D25" s="7" t="inlineStr">
        <is>
          <t>-</t>
        </is>
      </c>
      <c r="E25" s="7" t="inlineStr">
        <is>
          <t>-</t>
        </is>
      </c>
      <c r="F25" s="7" t="inlineStr">
        <is>
          <t>-</t>
        </is>
      </c>
    </row>
    <row r="26" ht="18.5" customHeight="1">
      <c r="A26" s="5" t="inlineStr">
        <is>
          <t xml:space="preserve">   Other assets</t>
        </is>
      </c>
      <c r="B26" s="6" t="n">
        <v>369.19</v>
      </c>
      <c r="C26" s="6" t="n">
        <v>-60.982</v>
      </c>
      <c r="D26" s="7" t="inlineStr">
        <is>
          <t>-</t>
        </is>
      </c>
      <c r="E26" s="7" t="inlineStr">
        <is>
          <t>-</t>
        </is>
      </c>
      <c r="F26" s="7" t="inlineStr">
        <is>
          <t>-</t>
        </is>
      </c>
    </row>
    <row r="27" ht="18.5" customHeight="1">
      <c r="A27" s="5" t="inlineStr">
        <is>
          <t xml:space="preserve">   Deposits</t>
        </is>
      </c>
      <c r="B27" s="6" t="n">
        <v>5910.612</v>
      </c>
      <c r="C27" s="6" t="n">
        <v>7664.82</v>
      </c>
      <c r="D27" s="7" t="inlineStr">
        <is>
          <t>-</t>
        </is>
      </c>
      <c r="E27" s="7" t="inlineStr">
        <is>
          <t>-</t>
        </is>
      </c>
      <c r="F27" s="7" t="inlineStr">
        <is>
          <t>-</t>
        </is>
      </c>
    </row>
    <row r="28" ht="18.5" customHeight="1">
      <c r="A28" s="5" t="inlineStr">
        <is>
          <t xml:space="preserve">   Payables to network</t>
        </is>
      </c>
      <c r="B28" s="6" t="n">
        <v>-528.511</v>
      </c>
      <c r="C28" s="6" t="n">
        <v>2818.592</v>
      </c>
      <c r="D28" s="7" t="inlineStr">
        <is>
          <t>-</t>
        </is>
      </c>
      <c r="E28" s="7" t="inlineStr">
        <is>
          <t>-</t>
        </is>
      </c>
      <c r="F28" s="7" t="inlineStr">
        <is>
          <t>-</t>
        </is>
      </c>
    </row>
    <row r="29" ht="18.5" customHeight="1">
      <c r="A29" s="5" t="inlineStr">
        <is>
          <t xml:space="preserve">   Deferred income</t>
        </is>
      </c>
      <c r="B29" s="6" t="n">
        <v>3.75</v>
      </c>
      <c r="C29" s="6" t="n">
        <v>25.935</v>
      </c>
      <c r="D29" s="7" t="inlineStr">
        <is>
          <t>-</t>
        </is>
      </c>
      <c r="E29" s="7" t="inlineStr">
        <is>
          <t>-</t>
        </is>
      </c>
      <c r="F29" s="7" t="inlineStr">
        <is>
          <t>-</t>
        </is>
      </c>
    </row>
    <row r="30" ht="18.5" customHeight="1">
      <c r="A30" s="5" t="inlineStr">
        <is>
          <t xml:space="preserve">   Other liabilities</t>
        </is>
      </c>
      <c r="B30" s="6" t="n">
        <v>1111.83</v>
      </c>
      <c r="C30" s="6" t="n">
        <v>1279.987</v>
      </c>
      <c r="D30" s="7" t="inlineStr">
        <is>
          <t>-</t>
        </is>
      </c>
      <c r="E30" s="7" t="inlineStr">
        <is>
          <t>-</t>
        </is>
      </c>
      <c r="F30" s="7" t="inlineStr">
        <is>
          <t>-</t>
        </is>
      </c>
    </row>
    <row r="31" ht="18.5" customHeight="1">
      <c r="A31" s="5" t="inlineStr">
        <is>
          <t xml:space="preserve">   Interest paid</t>
        </is>
      </c>
      <c r="B31" s="6" t="n">
        <v>-88.08199999999999</v>
      </c>
      <c r="C31" s="6" t="n">
        <v>-82.904</v>
      </c>
      <c r="D31" s="7" t="inlineStr">
        <is>
          <t>-</t>
        </is>
      </c>
      <c r="E31" s="7" t="inlineStr">
        <is>
          <t>-</t>
        </is>
      </c>
      <c r="F31" s="7" t="inlineStr">
        <is>
          <t>-</t>
        </is>
      </c>
    </row>
    <row r="32" ht="18.5" customHeight="1">
      <c r="A32" s="5" t="inlineStr">
        <is>
          <t xml:space="preserve">   Income tax paid</t>
        </is>
      </c>
      <c r="B32" s="6" t="n">
        <v>-1262.541</v>
      </c>
      <c r="C32" s="6" t="n">
        <v>-612.447</v>
      </c>
      <c r="D32" s="7" t="inlineStr">
        <is>
          <t>-</t>
        </is>
      </c>
      <c r="E32" s="7" t="inlineStr">
        <is>
          <t>-</t>
        </is>
      </c>
      <c r="F32" s="7" t="inlineStr">
        <is>
          <t>-</t>
        </is>
      </c>
    </row>
    <row r="33" ht="18.5" customHeight="1">
      <c r="A33" s="5" t="inlineStr">
        <is>
          <t xml:space="preserve">   Interest received</t>
        </is>
      </c>
      <c r="B33" s="6" t="n">
        <v>5820.898</v>
      </c>
      <c r="C33" s="6" t="n">
        <v>3389.331</v>
      </c>
      <c r="D33" s="7" t="inlineStr">
        <is>
          <t>-</t>
        </is>
      </c>
      <c r="E33" s="7" t="inlineStr">
        <is>
          <t>-</t>
        </is>
      </c>
      <c r="F33" s="7" t="inlineStr">
        <is>
          <t>-</t>
        </is>
      </c>
    </row>
    <row r="34" ht="18.5" customHeight="1">
      <c r="A34" s="5" t="inlineStr">
        <is>
          <t xml:space="preserve">   Cash flows generated from (used in) operating activities</t>
        </is>
      </c>
      <c r="B34" s="6" t="n">
        <v>2399.044</v>
      </c>
      <c r="C34" s="6" t="n">
        <v>1266.189</v>
      </c>
      <c r="D34" s="7" t="inlineStr">
        <is>
          <t>-</t>
        </is>
      </c>
      <c r="E34" s="7" t="inlineStr">
        <is>
          <t>-</t>
        </is>
      </c>
      <c r="F34" s="7" t="inlineStr">
        <is>
          <t>-</t>
        </is>
      </c>
    </row>
    <row r="35" ht="18.5" customHeight="1">
      <c r="A35" s="5" t="inlineStr">
        <is>
          <t xml:space="preserve">   Acquisition of property, plant and equipment</t>
        </is>
      </c>
      <c r="B35" s="6" t="n">
        <v>-5.418</v>
      </c>
      <c r="C35" s="6" t="n">
        <v>-20.243</v>
      </c>
      <c r="D35" s="7" t="inlineStr">
        <is>
          <t>-</t>
        </is>
      </c>
      <c r="E35" s="7" t="inlineStr">
        <is>
          <t>-</t>
        </is>
      </c>
      <c r="F35" s="7" t="inlineStr">
        <is>
          <t>-</t>
        </is>
      </c>
    </row>
    <row r="36" ht="18.5" customHeight="1">
      <c r="A36" s="5" t="inlineStr">
        <is>
          <t xml:space="preserve">   Acquisition and development of intangible assets</t>
        </is>
      </c>
      <c r="B36" s="6" t="n">
        <v>-169.572</v>
      </c>
      <c r="C36" s="6" t="n">
        <v>-156.76</v>
      </c>
      <c r="D36" s="7" t="inlineStr">
        <is>
          <t>-</t>
        </is>
      </c>
      <c r="E36" s="7" t="inlineStr">
        <is>
          <t>-</t>
        </is>
      </c>
      <c r="F36" s="7" t="inlineStr">
        <is>
          <t>-</t>
        </is>
      </c>
    </row>
    <row r="37" ht="18.5" customHeight="1">
      <c r="A37" s="5" t="inlineStr">
        <is>
          <t xml:space="preserve">   Investments in associates</t>
        </is>
      </c>
      <c r="B37" s="6" t="n">
        <v>-99.36499999999999</v>
      </c>
      <c r="C37" s="7" t="inlineStr">
        <is>
          <t>-</t>
        </is>
      </c>
      <c r="D37" s="7" t="inlineStr">
        <is>
          <t>-</t>
        </is>
      </c>
      <c r="E37" s="7" t="inlineStr">
        <is>
          <t>-</t>
        </is>
      </c>
      <c r="F37" s="7" t="inlineStr">
        <is>
          <t>-</t>
        </is>
      </c>
    </row>
    <row r="38" ht="18.5" customHeight="1">
      <c r="A38" s="5" t="inlineStr">
        <is>
          <t xml:space="preserve">   Acquisition of subsidiary, net of cash acquired</t>
        </is>
      </c>
      <c r="B38" s="6" t="n">
        <v>-5.637</v>
      </c>
      <c r="C38" s="7" t="inlineStr">
        <is>
          <t>-</t>
        </is>
      </c>
      <c r="D38" s="7" t="inlineStr">
        <is>
          <t>-</t>
        </is>
      </c>
      <c r="E38" s="7" t="inlineStr">
        <is>
          <t>-</t>
        </is>
      </c>
      <c r="F38" s="7" t="inlineStr">
        <is>
          <t>-</t>
        </is>
      </c>
    </row>
    <row r="39" ht="18.5" customHeight="1">
      <c r="A39" s="5" t="inlineStr">
        <is>
          <t xml:space="preserve">   Derivatives</t>
        </is>
      </c>
      <c r="B39" s="6" t="n">
        <v>-50.635</v>
      </c>
      <c r="C39" s="7" t="inlineStr">
        <is>
          <t>-</t>
        </is>
      </c>
      <c r="D39" s="7" t="inlineStr">
        <is>
          <t>-</t>
        </is>
      </c>
      <c r="E39" s="7" t="inlineStr">
        <is>
          <t>-</t>
        </is>
      </c>
      <c r="F39" s="7" t="inlineStr">
        <is>
          <t>-</t>
        </is>
      </c>
    </row>
    <row r="40" ht="18.5" customHeight="1">
      <c r="A40" s="5" t="inlineStr">
        <is>
          <t xml:space="preserve">   Cash flow generated from (used in) investing activities</t>
        </is>
      </c>
      <c r="B40" s="6" t="n">
        <v>-330.627</v>
      </c>
      <c r="C40" s="6" t="n">
        <v>-177.003</v>
      </c>
      <c r="D40" s="7" t="inlineStr">
        <is>
          <t>-</t>
        </is>
      </c>
      <c r="E40" s="7" t="inlineStr">
        <is>
          <t>-</t>
        </is>
      </c>
      <c r="F40" s="7" t="inlineStr">
        <is>
          <t>-</t>
        </is>
      </c>
    </row>
    <row r="41" ht="18.5" customHeight="1">
      <c r="A41" s="5" t="inlineStr">
        <is>
          <t xml:space="preserve">   Proceeds from borrowings and financing</t>
        </is>
      </c>
      <c r="B41" s="6" t="n">
        <v>1309.89</v>
      </c>
      <c r="C41" s="6" t="n">
        <v>469.501</v>
      </c>
      <c r="D41" s="7" t="inlineStr">
        <is>
          <t>-</t>
        </is>
      </c>
      <c r="E41" s="7" t="inlineStr">
        <is>
          <t>-</t>
        </is>
      </c>
      <c r="F41" s="7" t="inlineStr">
        <is>
          <t>-</t>
        </is>
      </c>
    </row>
    <row r="42" ht="18.5" customHeight="1">
      <c r="A42" s="5" t="inlineStr">
        <is>
          <t xml:space="preserve">   Payments of borrowings and financing</t>
        </is>
      </c>
      <c r="B42" s="6" t="n">
        <v>-580.6420000000001</v>
      </c>
      <c r="C42" s="6" t="n">
        <v>-46.501</v>
      </c>
      <c r="D42" s="7" t="inlineStr">
        <is>
          <t>-</t>
        </is>
      </c>
      <c r="E42" s="7" t="inlineStr">
        <is>
          <t>-</t>
        </is>
      </c>
      <c r="F42" s="7" t="inlineStr">
        <is>
          <t>-</t>
        </is>
      </c>
    </row>
    <row r="43" ht="18.5" customHeight="1">
      <c r="A43" s="5" t="inlineStr">
        <is>
          <t xml:space="preserve">   Lease payments</t>
        </is>
      </c>
      <c r="B43" s="6" t="n">
        <v>-7.053</v>
      </c>
      <c r="C43" s="6" t="n">
        <v>-6.933</v>
      </c>
      <c r="D43" s="7" t="inlineStr">
        <is>
          <t>-</t>
        </is>
      </c>
      <c r="E43" s="7" t="inlineStr">
        <is>
          <t>-</t>
        </is>
      </c>
      <c r="F43" s="7" t="inlineStr">
        <is>
          <t>-</t>
        </is>
      </c>
    </row>
    <row r="44" ht="18.5" customHeight="1">
      <c r="A44" s="5" t="inlineStr">
        <is>
          <t xml:space="preserve">   Exercise of stock options</t>
        </is>
      </c>
      <c r="B44" s="6" t="n">
        <v>5.546</v>
      </c>
      <c r="C44" s="6" t="n">
        <v>9.148</v>
      </c>
      <c r="D44" s="7" t="inlineStr">
        <is>
          <t>-</t>
        </is>
      </c>
      <c r="E44" s="7" t="inlineStr">
        <is>
          <t>-</t>
        </is>
      </c>
      <c r="F44" s="7" t="inlineStr">
        <is>
          <t>-</t>
        </is>
      </c>
    </row>
    <row r="45" ht="18.5" customHeight="1">
      <c r="A45" s="5" t="inlineStr">
        <is>
          <t xml:space="preserve">   Cash flows generated from (used in) financing activities</t>
        </is>
      </c>
      <c r="B45" s="6" t="n">
        <v>727.741</v>
      </c>
      <c r="C45" s="6" t="n">
        <v>425.215</v>
      </c>
      <c r="D45" s="7" t="inlineStr">
        <is>
          <t>-</t>
        </is>
      </c>
      <c r="E45" s="7" t="inlineStr">
        <is>
          <t>-</t>
        </is>
      </c>
      <c r="F45" s="7" t="inlineStr">
        <is>
          <t>-</t>
        </is>
      </c>
    </row>
    <row r="46" ht="18.5" customHeight="1">
      <c r="A46" s="5" t="inlineStr">
        <is>
          <t xml:space="preserve">   Net Change in Cash</t>
        </is>
      </c>
      <c r="B46" s="6" t="n">
        <v>2796.158</v>
      </c>
      <c r="C46" s="6" t="n">
        <v>1514.401</v>
      </c>
      <c r="D46" s="7" t="inlineStr">
        <is>
          <t>-</t>
        </is>
      </c>
      <c r="E46" s="7" t="inlineStr">
        <is>
          <t>-</t>
        </is>
      </c>
      <c r="F46" s="7" t="inlineStr">
        <is>
          <t>-</t>
        </is>
      </c>
    </row>
    <row r="47" ht="18.5" customHeight="1">
      <c r="A47" s="5" t="inlineStr">
        <is>
          <t xml:space="preserve">   Cash and cash equivalents - end of the year</t>
        </is>
      </c>
      <c r="B47" s="6" t="n">
        <v>9185.742</v>
      </c>
      <c r="C47" s="6" t="n">
        <v>5923.44</v>
      </c>
      <c r="D47" s="7" t="inlineStr">
        <is>
          <t>-</t>
        </is>
      </c>
      <c r="E47" s="7" t="inlineStr">
        <is>
          <t>-</t>
        </is>
      </c>
      <c r="F47" s="7" t="inlineStr">
        <is>
          <t>-</t>
        </is>
      </c>
    </row>
    <row r="48" ht="18.5" customHeight="1">
      <c r="A48" s="5" t="inlineStr">
        <is>
          <t xml:space="preserve">   Foreign exchange rate changes on cash and cash equivalents</t>
        </is>
      </c>
      <c r="B48" s="6" t="n">
        <v>466.144</v>
      </c>
      <c r="C48" s="6" t="n">
        <v>236.723</v>
      </c>
      <c r="D48" s="7" t="inlineStr">
        <is>
          <t>-</t>
        </is>
      </c>
      <c r="E48" s="7" t="inlineStr">
        <is>
          <t>-</t>
        </is>
      </c>
      <c r="F48" s="7" t="inlineStr">
        <is>
          <t>-</t>
        </is>
      </c>
    </row>
    <row r="49" ht="18.5" customHeight="1">
      <c r="A49" s="5" t="inlineStr">
        <is>
          <t xml:space="preserve">   Increase (decrease) in cash and cash equivalents</t>
        </is>
      </c>
      <c r="B49" s="6" t="n">
        <v>2796.158</v>
      </c>
      <c r="C49" s="6" t="n">
        <v>1514.401</v>
      </c>
      <c r="D49" s="7" t="inlineStr">
        <is>
          <t>-</t>
        </is>
      </c>
      <c r="E49" s="7" t="inlineStr">
        <is>
          <t>-</t>
        </is>
      </c>
      <c r="F49" s="7" t="inlineStr">
        <is>
          <t>-</t>
        </is>
      </c>
    </row>
    <row r="50" ht="18.5" customHeight="1">
      <c r="A50" s="5" t="inlineStr">
        <is>
          <t xml:space="preserve">   Shares issued to service providers</t>
        </is>
      </c>
      <c r="B50" s="6" t="n">
        <v>1.283</v>
      </c>
      <c r="C50" s="6" t="n">
        <v>21.533</v>
      </c>
      <c r="D50" s="7" t="inlineStr">
        <is>
          <t>-</t>
        </is>
      </c>
      <c r="E50" s="7" t="inlineStr">
        <is>
          <t>-</t>
        </is>
      </c>
      <c r="F50" s="7" t="inlineStr">
        <is>
          <t>-</t>
        </is>
      </c>
    </row>
    <row r="51" ht="18.5" customHeight="1">
      <c r="A51" s="5" t="inlineStr">
        <is>
          <t xml:space="preserve">   Shares issued on business acquisition</t>
        </is>
      </c>
      <c r="B51" s="6" t="n">
        <v>75.30800000000001</v>
      </c>
      <c r="C51" s="7" t="inlineStr">
        <is>
          <t>-</t>
        </is>
      </c>
      <c r="D51" s="7" t="inlineStr">
        <is>
          <t>-</t>
        </is>
      </c>
      <c r="E51" s="7" t="inlineStr">
        <is>
          <t>-</t>
        </is>
      </c>
      <c r="F51" s="7"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s>
  <sheetData>
    <row r="1" ht="30" customHeight="1">
      <c r="A1" s="1" t="inlineStr">
        <is>
          <t>Nu Holdings Ltd. (NU) - Desglose de Ventas</t>
        </is>
      </c>
    </row>
    <row r="2" ht="18" customHeight="1">
      <c r="A2" s="2" t="inlineStr">
        <is>
          <t>Ingresos por línea de producto y por región geográfica en Millones de USD ($M)</t>
        </is>
      </c>
    </row>
    <row r="3" ht="8" customHeight="1"/>
    <row r="4" ht="25" customHeight="1">
      <c r="A4" s="3" t="inlineStr">
        <is>
          <t>Segmento / Línea de Negocio</t>
        </is>
      </c>
      <c r="B4" s="4" t="inlineStr">
        <is>
          <t>FY2024</t>
        </is>
      </c>
      <c r="C4" s="4" t="inlineStr">
        <is>
          <t>FY2023</t>
        </is>
      </c>
      <c r="D4" s="4" t="inlineStr">
        <is>
          <t>FY2022</t>
        </is>
      </c>
      <c r="E4" s="4" t="inlineStr">
        <is>
          <t>FY2021</t>
        </is>
      </c>
      <c r="F4" s="4" t="inlineStr">
        <is>
          <t>FY2020</t>
        </is>
      </c>
    </row>
    <row r="5" ht="22" customHeight="1">
      <c r="A5" s="18" t="inlineStr">
        <is>
          <t>VENTAS POR LÍNEA DE PRODUCTO / SERVICIO / MARCA</t>
        </is>
      </c>
      <c r="B5" s="19" t="n"/>
      <c r="C5" s="19" t="n"/>
      <c r="D5" s="19" t="n"/>
      <c r="E5" s="19" t="n"/>
      <c r="F5" s="19" t="n"/>
    </row>
    <row r="6" ht="18.5" customHeight="1">
      <c r="A6" s="5" t="inlineStr">
        <is>
          <t xml:space="preserve">   Margen de Intereses e Intermediación Crediticia</t>
        </is>
      </c>
      <c r="B6" s="6" t="n">
        <v>8637.799999999999</v>
      </c>
      <c r="C6" s="6" t="n">
        <v>6021.7</v>
      </c>
      <c r="D6" s="6" t="n">
        <v>3594.2</v>
      </c>
      <c r="E6" s="6" t="n">
        <v>1273.5</v>
      </c>
      <c r="F6" s="6" t="n">
        <v>552.8</v>
      </c>
    </row>
    <row r="7" ht="18.5" customHeight="1">
      <c r="A7" s="5" t="inlineStr">
        <is>
          <t xml:space="preserve">   Comisiones por Servicios, Adquirencia e Intercambio</t>
        </is>
      </c>
      <c r="B7" s="6" t="n">
        <v>2879.3</v>
      </c>
      <c r="C7" s="6" t="n">
        <v>2007.2</v>
      </c>
      <c r="D7" s="6" t="n">
        <v>1198.1</v>
      </c>
      <c r="E7" s="6" t="n">
        <v>424.5</v>
      </c>
      <c r="F7" s="6" t="n">
        <v>184.3</v>
      </c>
    </row>
    <row r="8" ht="10" customHeight="1"/>
    <row r="9" ht="22" customHeight="1">
      <c r="A9" s="18" t="inlineStr">
        <is>
          <t>VENTAS POR REGIÓN GEOGRÁFICA</t>
        </is>
      </c>
      <c r="B9" s="19" t="n"/>
      <c r="C9" s="19" t="n"/>
      <c r="D9" s="19" t="n"/>
      <c r="E9" s="19" t="n"/>
      <c r="F9" s="19" t="n"/>
    </row>
    <row r="10" ht="18.5" customHeight="1">
      <c r="A10" s="5" t="inlineStr">
        <is>
          <t xml:space="preserve">   Brasil</t>
        </is>
      </c>
      <c r="B10" s="6" t="n">
        <v>9501.6</v>
      </c>
      <c r="C10" s="6" t="n">
        <v>6623.9</v>
      </c>
      <c r="D10" s="6" t="n">
        <v>3953.6</v>
      </c>
      <c r="E10" s="6" t="n">
        <v>1400.9</v>
      </c>
      <c r="F10" s="6" t="n">
        <v>608.1</v>
      </c>
    </row>
    <row r="11" ht="18.5" customHeight="1">
      <c r="A11" s="5" t="inlineStr">
        <is>
          <t xml:space="preserve">   México</t>
        </is>
      </c>
      <c r="B11" s="6" t="n">
        <v>1635.4</v>
      </c>
      <c r="C11" s="6" t="n">
        <v>1140.1</v>
      </c>
      <c r="D11" s="6" t="n">
        <v>680.5</v>
      </c>
      <c r="E11" s="6" t="n">
        <v>241.1</v>
      </c>
      <c r="F11" s="6" t="n">
        <v>104.7</v>
      </c>
    </row>
    <row r="12" ht="18.5" customHeight="1">
      <c r="A12" s="5" t="inlineStr">
        <is>
          <t xml:space="preserve">   Colombia</t>
        </is>
      </c>
      <c r="B12" s="6" t="n">
        <v>380.1</v>
      </c>
      <c r="C12" s="6" t="n">
        <v>265</v>
      </c>
      <c r="D12" s="6" t="n">
        <v>158.1</v>
      </c>
      <c r="E12" s="6" t="n">
        <v>56</v>
      </c>
      <c r="F12" s="6" t="n">
        <v>24.3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9"/>
  <sheetViews>
    <sheetView showGridLines="1" workbookViewId="0">
      <pane xSplit="3" ySplit="7" topLeftCell="D8"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s>
  <sheetData>
    <row r="1" ht="30" customHeight="1">
      <c r="A1" s="1" t="inlineStr">
        <is>
          <t>Nu Holdings Ltd. (NU) - Diagnóstico Fundamental: Piotroski F-Score &amp; Mohanram G-Score</t>
        </is>
      </c>
    </row>
    <row r="2" ht="18" customHeight="1">
      <c r="A2" s="2" t="inlineStr">
        <is>
          <t>Evaluación Cuantitativa de Solvencia Interna (0-9 Pts) y Calidad de Crecimiento Sectorial (0-8 Pts) | Mejoras Institucionales V2</t>
        </is>
      </c>
    </row>
    <row r="3" ht="8" customHeight="1"/>
    <row r="4" ht="22" customHeight="1">
      <c r="A4" s="18" t="inlineStr">
        <is>
          <t>DIAGNÓSTICO ESTRATÉGICO ACTUAL</t>
        </is>
      </c>
      <c r="B4" s="27" t="inlineStr">
        <is>
          <t>Período: FY2024</t>
        </is>
      </c>
      <c r="C4" s="27" t="inlineStr">
        <is>
          <t>F-Score: 6/9 (SALUD SÓLIDA)</t>
        </is>
      </c>
      <c r="D4" s="27" t="inlineStr">
        <is>
          <t>G-Score: 6/8 (CRECIMIENTO DE ÉLITE)</t>
        </is>
      </c>
      <c r="E4" s="28" t="inlineStr">
        <is>
          <t>Sector: SIC 6199 - Digital Financial Services &amp; FinTech Banking</t>
        </is>
      </c>
      <c r="F4" s="29" t="n"/>
      <c r="G4" s="29" t="n"/>
      <c r="H4" s="29" t="n"/>
    </row>
    <row r="5" ht="36" customHeight="1">
      <c r="A5" s="30" t="inlineStr">
        <is>
          <t>CLASIFICACIÓN MATRIZ:</t>
        </is>
      </c>
      <c r="B5" s="31" t="inlineStr">
        <is>
          <t>💎 COMPOUNDER DE ÉLITE</t>
        </is>
      </c>
      <c r="C5" s="32" t="inlineStr">
        <is>
          <t>Compañía excepcional: Combina sólida salud financiera intrínseca, balance robusto, generación líquida de caja y desendeudamiento (F-Score sólido &gt;= 6) con superioridad competitiva, disciplina en I+D y crecimiento por encima de la mediana del sector (G-Score destacado &gt;= 6). Perfil ideal para inversión a largo plazo.</t>
        </is>
      </c>
    </row>
    <row r="6" ht="10" customHeight="1"/>
    <row r="7" ht="25" customHeight="1">
      <c r="A7" s="3" t="inlineStr">
        <is>
          <t>Criterio Fundamental (Piotroski 2000)</t>
        </is>
      </c>
      <c r="B7" s="3" t="inlineStr">
        <is>
          <t>Categoría</t>
        </is>
      </c>
      <c r="C7" s="3" t="inlineStr">
        <is>
          <t>Umbral / Regla</t>
        </is>
      </c>
      <c r="D7" s="4" t="inlineStr">
        <is>
          <t>FY2024</t>
        </is>
      </c>
      <c r="E7" s="4" t="inlineStr">
        <is>
          <t>FY2023</t>
        </is>
      </c>
      <c r="F7" s="4" t="inlineStr">
        <is>
          <t>FY2022</t>
        </is>
      </c>
      <c r="G7" s="4" t="inlineStr">
        <is>
          <t>FY2021</t>
        </is>
      </c>
      <c r="H7" s="4" t="inlineStr">
        <is>
          <t>FY2020</t>
        </is>
      </c>
    </row>
    <row r="8" ht="18.5" customHeight="1">
      <c r="A8" s="5" t="inlineStr">
        <is>
          <t xml:space="preserve">   ROA Positivo</t>
        </is>
      </c>
      <c r="B8" s="33" t="inlineStr">
        <is>
          <t>Rentabilidad</t>
        </is>
      </c>
      <c r="C8" s="5" t="inlineStr">
        <is>
          <t>Net Income / Activos t-1 &gt; 0</t>
        </is>
      </c>
      <c r="D8" s="34" t="inlineStr">
        <is>
          <t>4.53% [1]</t>
        </is>
      </c>
      <c r="E8" s="34" t="inlineStr">
        <is>
          <t>3.44% [1]</t>
        </is>
      </c>
      <c r="F8" s="35" t="inlineStr">
        <is>
          <t>-1.84% [0]</t>
        </is>
      </c>
      <c r="G8" s="35" t="inlineStr">
        <is>
          <t>-1.62% [0]</t>
        </is>
      </c>
      <c r="H8" s="35" t="inlineStr">
        <is>
          <t>-1.69% [0]</t>
        </is>
      </c>
    </row>
    <row r="9" ht="18.5" customHeight="1">
      <c r="A9" s="5" t="inlineStr">
        <is>
          <t xml:space="preserve">   CFO Positivo</t>
        </is>
      </c>
      <c r="B9" s="33" t="inlineStr">
        <is>
          <t>Rentabilidad</t>
        </is>
      </c>
      <c r="C9" s="5" t="inlineStr">
        <is>
          <t>Operating Cash Flow &gt; 0</t>
        </is>
      </c>
      <c r="D9" s="34" t="inlineStr">
        <is>
          <t>$2,399.0M [1]</t>
        </is>
      </c>
      <c r="E9" s="34" t="inlineStr">
        <is>
          <t>$1,266.2M [1]</t>
        </is>
      </c>
      <c r="F9" s="34" t="inlineStr">
        <is>
          <t>$755.6M [1]</t>
        </is>
      </c>
      <c r="G9" s="35" t="inlineStr">
        <is>
          <t>$-2,924.3M [0]</t>
        </is>
      </c>
      <c r="H9" s="34" t="inlineStr">
        <is>
          <t>$974.5M [1]</t>
        </is>
      </c>
    </row>
    <row r="10" ht="18.5" customHeight="1">
      <c r="A10" s="5" t="inlineStr">
        <is>
          <t xml:space="preserve">   Mejora Interanual de ROA</t>
        </is>
      </c>
      <c r="B10" s="33" t="inlineStr">
        <is>
          <t>Rentabilidad</t>
        </is>
      </c>
      <c r="C10" s="5" t="inlineStr">
        <is>
          <t>Delta ROA &gt; 0%</t>
        </is>
      </c>
      <c r="D10" s="34" t="inlineStr">
        <is>
          <t>+1.09% [1]</t>
        </is>
      </c>
      <c r="E10" s="34" t="inlineStr">
        <is>
          <t>+5.28% [1]</t>
        </is>
      </c>
      <c r="F10" s="35" t="inlineStr">
        <is>
          <t>-0.21% [0]</t>
        </is>
      </c>
      <c r="G10" s="34" t="inlineStr">
        <is>
          <t>+0.06% [1]</t>
        </is>
      </c>
      <c r="H10" s="35" t="inlineStr">
        <is>
          <t>N/A [0]</t>
        </is>
      </c>
    </row>
    <row r="11" ht="18.5" customHeight="1">
      <c r="A11" s="5" t="inlineStr">
        <is>
          <t xml:space="preserve">   Calidad Contable de Sloan</t>
        </is>
      </c>
      <c r="B11" s="33" t="inlineStr">
        <is>
          <t>Rentabilidad</t>
        </is>
      </c>
      <c r="C11" s="5" t="inlineStr">
        <is>
          <t>CFO &gt; Net Income</t>
        </is>
      </c>
      <c r="D11" s="34" t="inlineStr">
        <is>
          <t>$+426.9M [1]</t>
        </is>
      </c>
      <c r="E11" s="34" t="inlineStr">
        <is>
          <t>$+235.7M [1]</t>
        </is>
      </c>
      <c r="F11" s="34" t="inlineStr">
        <is>
          <t>$+1,120.2M [1]</t>
        </is>
      </c>
      <c r="G11" s="35" t="inlineStr">
        <is>
          <t>$-2,759.3M [0]</t>
        </is>
      </c>
      <c r="H11" s="34" t="inlineStr">
        <is>
          <t>$+1,146.0M [1]</t>
        </is>
      </c>
    </row>
    <row r="12" ht="18.5" customHeight="1">
      <c r="A12" s="5" t="inlineStr">
        <is>
          <t xml:space="preserve">   Desendeudamiento Financiero Total</t>
        </is>
      </c>
      <c r="B12" s="33" t="inlineStr">
        <is>
          <t>Apalancamiento</t>
        </is>
      </c>
      <c r="C12" s="5" t="inlineStr">
        <is>
          <t>Delta Deuda Total &lt;= 0%</t>
        </is>
      </c>
      <c r="D12" s="34" t="inlineStr">
        <is>
          <t>+0.00% [1]</t>
        </is>
      </c>
      <c r="E12" s="34" t="inlineStr">
        <is>
          <t>+0.00% [1]</t>
        </is>
      </c>
      <c r="F12" s="34" t="inlineStr">
        <is>
          <t>+0.00% [1]</t>
        </is>
      </c>
      <c r="G12" s="34" t="inlineStr">
        <is>
          <t>+0.00% [1]</t>
        </is>
      </c>
      <c r="H12" s="35" t="inlineStr">
        <is>
          <t>N/A [0]</t>
        </is>
      </c>
    </row>
    <row r="13" ht="18.5" customHeight="1">
      <c r="A13" s="5" t="inlineStr">
        <is>
          <t xml:space="preserve">   Mejora de Razón Corriente</t>
        </is>
      </c>
      <c r="B13" s="33" t="inlineStr">
        <is>
          <t>Liquidez</t>
        </is>
      </c>
      <c r="C13" s="5" t="inlineStr">
        <is>
          <t>Delta Current Ratio &gt; 0x</t>
        </is>
      </c>
      <c r="D13" s="35" t="inlineStr">
        <is>
          <t>N/A [0]</t>
        </is>
      </c>
      <c r="E13" s="35" t="inlineStr">
        <is>
          <t>N/A [0]</t>
        </is>
      </c>
      <c r="F13" s="35" t="inlineStr">
        <is>
          <t>N/A [0]</t>
        </is>
      </c>
      <c r="G13" s="35" t="inlineStr">
        <is>
          <t>N/A [0]</t>
        </is>
      </c>
      <c r="H13" s="35" t="inlineStr">
        <is>
          <t>N/A [0]</t>
        </is>
      </c>
    </row>
    <row r="14" ht="18.5" customHeight="1">
      <c r="A14" s="5" t="inlineStr">
        <is>
          <t xml:space="preserve">   Cero Dilución (Acciones Básicas)</t>
        </is>
      </c>
      <c r="B14" s="33" t="inlineStr">
        <is>
          <t>Capital</t>
        </is>
      </c>
      <c r="C14" s="5" t="inlineStr">
        <is>
          <t>Delta Acciones Básicas &lt;= 0</t>
        </is>
      </c>
      <c r="D14" s="35" t="inlineStr">
        <is>
          <t>+53.2M acciones [0]</t>
        </is>
      </c>
      <c r="E14" s="35" t="inlineStr">
        <is>
          <t>+61.9M acciones [0]</t>
        </is>
      </c>
      <c r="F14" s="35" t="inlineStr">
        <is>
          <t>+3,074.9M acciones [0]</t>
        </is>
      </c>
      <c r="G14" s="35" t="inlineStr">
        <is>
          <t>N/A [0]</t>
        </is>
      </c>
      <c r="H14" s="35" t="inlineStr">
        <is>
          <t>N/A [0]</t>
        </is>
      </c>
    </row>
    <row r="15" ht="18.5" customHeight="1">
      <c r="A15" s="5" t="inlineStr">
        <is>
          <t xml:space="preserve">   Expansión de Margen Bruto</t>
        </is>
      </c>
      <c r="B15" s="33" t="inlineStr">
        <is>
          <t>Eficiencia</t>
        </is>
      </c>
      <c r="C15" s="5" t="inlineStr">
        <is>
          <t>Delta Margen Bruto &gt; 0%</t>
        </is>
      </c>
      <c r="D15" s="34" t="inlineStr">
        <is>
          <t>+2.13% [1]</t>
        </is>
      </c>
      <c r="E15" s="34" t="inlineStr">
        <is>
          <t>+8.78% [1]</t>
        </is>
      </c>
      <c r="F15" s="35" t="inlineStr">
        <is>
          <t>-8.46% [0]</t>
        </is>
      </c>
      <c r="G15" s="35" t="inlineStr">
        <is>
          <t>-1.19% [0]</t>
        </is>
      </c>
      <c r="H15" s="35" t="inlineStr">
        <is>
          <t>N/A [0]</t>
        </is>
      </c>
    </row>
    <row r="16" ht="18.5" customHeight="1">
      <c r="A16" s="5" t="inlineStr">
        <is>
          <t xml:space="preserve">   Expansión Rotación Activos</t>
        </is>
      </c>
      <c r="B16" s="33" t="inlineStr">
        <is>
          <t>Eficiencia</t>
        </is>
      </c>
      <c r="C16" s="5" t="inlineStr">
        <is>
          <t>Delta Rotación Activos &gt; 0x</t>
        </is>
      </c>
      <c r="D16" s="35" t="inlineStr">
        <is>
          <t>-0.003x [0]</t>
        </is>
      </c>
      <c r="E16" s="34" t="inlineStr">
        <is>
          <t>+0.027x [1]</t>
        </is>
      </c>
      <c r="F16" s="34" t="inlineStr">
        <is>
          <t>+0.074x [1]</t>
        </is>
      </c>
      <c r="G16" s="34" t="inlineStr">
        <is>
          <t>+0.095x [1]</t>
        </is>
      </c>
      <c r="H16" s="35" t="inlineStr">
        <is>
          <t>N/A [0]</t>
        </is>
      </c>
    </row>
    <row r="17" ht="18.5" customHeight="1">
      <c r="A17" s="13" t="inlineStr">
        <is>
          <t>TOTAL PIOTROSKI F-SCORE (0 a 9 Pts)</t>
        </is>
      </c>
      <c r="B17" s="13" t="inlineStr">
        <is>
          <t>PUNTUACIÓN</t>
        </is>
      </c>
      <c r="C17" s="13" t="inlineStr">
        <is>
          <t>Escala 0-9 (&gt;=7 Fuerte)</t>
        </is>
      </c>
      <c r="D17" s="36" t="inlineStr">
        <is>
          <t>6 / 9 Pts</t>
        </is>
      </c>
      <c r="E17" s="37" t="inlineStr">
        <is>
          <t>7 / 9 Pts</t>
        </is>
      </c>
      <c r="F17" s="38" t="inlineStr">
        <is>
          <t>4 / 9 Pts</t>
        </is>
      </c>
      <c r="G17" s="38" t="inlineStr">
        <is>
          <t>3 / 9 Pts</t>
        </is>
      </c>
      <c r="H17" s="38" t="inlineStr">
        <is>
          <t>2 / 9 Pts</t>
        </is>
      </c>
    </row>
    <row r="18" ht="18.5" customHeight="1">
      <c r="A18" s="33" t="inlineStr">
        <is>
          <t>Dictamen de Salud Financiera</t>
        </is>
      </c>
      <c r="B18" s="33" t="inlineStr">
        <is>
          <t>-</t>
        </is>
      </c>
      <c r="C18" s="33" t="inlineStr">
        <is>
          <t>Clasificación</t>
        </is>
      </c>
      <c r="D18" s="39" t="inlineStr">
        <is>
          <t>SALUD SÓLIDA</t>
        </is>
      </c>
      <c r="E18" s="39" t="inlineStr">
        <is>
          <t>SALUD SÓLIDA</t>
        </is>
      </c>
      <c r="F18" s="39" t="inlineStr">
        <is>
          <t>VULNERABILIDAD FINANCIERA</t>
        </is>
      </c>
      <c r="G18" s="39" t="inlineStr">
        <is>
          <t>VULNERABILIDAD FINANCIERA</t>
        </is>
      </c>
      <c r="H18" s="39" t="inlineStr">
        <is>
          <t>VULNERABILIDAD FINANCIERA</t>
        </is>
      </c>
    </row>
    <row r="19" ht="10" customHeight="1"/>
    <row r="20" ht="10" customHeight="1"/>
    <row r="21" ht="25" customHeight="1">
      <c r="A21" s="3" t="inlineStr">
        <is>
          <t>Criterio de Crecimiento (Mohanram 2005)</t>
        </is>
      </c>
      <c r="B21" s="3" t="inlineStr">
        <is>
          <t>Categoría</t>
        </is>
      </c>
      <c r="C21" s="3" t="inlineStr">
        <is>
          <t>Benchmark Sectorial</t>
        </is>
      </c>
      <c r="D21" s="4" t="inlineStr">
        <is>
          <t>FY2024</t>
        </is>
      </c>
      <c r="E21" s="4" t="inlineStr">
        <is>
          <t>FY2023</t>
        </is>
      </c>
      <c r="F21" s="4" t="inlineStr">
        <is>
          <t>FY2022</t>
        </is>
      </c>
      <c r="G21" s="4" t="inlineStr">
        <is>
          <t>FY2021</t>
        </is>
      </c>
      <c r="H21" s="4" t="inlineStr">
        <is>
          <t>FY2020</t>
        </is>
      </c>
    </row>
    <row r="22" ht="18.5" customHeight="1">
      <c r="A22" s="5" t="inlineStr">
        <is>
          <t xml:space="preserve">   ROA &gt; Mediana del Sector</t>
        </is>
      </c>
      <c r="B22" s="33" t="inlineStr">
        <is>
          <t>Rentabilidad</t>
        </is>
      </c>
      <c r="C22" s="5" t="inlineStr">
        <is>
          <t>&gt; Mediana Sector (1.40%)</t>
        </is>
      </c>
      <c r="D22" s="34" t="inlineStr">
        <is>
          <t>4.53% [1]</t>
        </is>
      </c>
      <c r="E22" s="34" t="inlineStr">
        <is>
          <t>3.44% [1]</t>
        </is>
      </c>
      <c r="F22" s="35" t="inlineStr">
        <is>
          <t>-1.84% [0]</t>
        </is>
      </c>
      <c r="G22" s="35" t="inlineStr">
        <is>
          <t>-1.62% [0]</t>
        </is>
      </c>
      <c r="H22" s="35" t="inlineStr">
        <is>
          <t>-1.69% [0]</t>
        </is>
      </c>
    </row>
    <row r="23" ht="18.5" customHeight="1">
      <c r="A23" s="5" t="inlineStr">
        <is>
          <t xml:space="preserve">   CFROA &gt; Mediana del Sector</t>
        </is>
      </c>
      <c r="B23" s="33" t="inlineStr">
        <is>
          <t>Flujo de Caja</t>
        </is>
      </c>
      <c r="C23" s="5" t="inlineStr">
        <is>
          <t>&gt; Mediana Sector (2.48%)</t>
        </is>
      </c>
      <c r="D23" s="34" t="inlineStr">
        <is>
          <t>5.52% [1]</t>
        </is>
      </c>
      <c r="E23" s="34" t="inlineStr">
        <is>
          <t>4.23% [1]</t>
        </is>
      </c>
      <c r="F23" s="34" t="inlineStr">
        <is>
          <t>3.80% [1]</t>
        </is>
      </c>
      <c r="G23" s="35" t="inlineStr">
        <is>
          <t>-28.80% [0]</t>
        </is>
      </c>
      <c r="H23" s="34" t="inlineStr">
        <is>
          <t>9.60% [1]</t>
        </is>
      </c>
    </row>
    <row r="24" ht="18.5" customHeight="1">
      <c r="A24" s="5" t="inlineStr">
        <is>
          <t xml:space="preserve">   Calidad Contable (CFO &gt; NI)</t>
        </is>
      </c>
      <c r="B24" s="33" t="inlineStr">
        <is>
          <t>Devengos</t>
        </is>
      </c>
      <c r="C24" s="5" t="inlineStr">
        <is>
          <t>CFO &gt; Utilidad Neta</t>
        </is>
      </c>
      <c r="D24" s="34" t="inlineStr">
        <is>
          <t>$+426.9M [1]</t>
        </is>
      </c>
      <c r="E24" s="34" t="inlineStr">
        <is>
          <t>$+235.7M [1]</t>
        </is>
      </c>
      <c r="F24" s="34" t="inlineStr">
        <is>
          <t>$+1,120.2M [1]</t>
        </is>
      </c>
      <c r="G24" s="35" t="inlineStr">
        <is>
          <t>$-2,759.3M [0]</t>
        </is>
      </c>
      <c r="H24" s="34" t="inlineStr">
        <is>
          <t>$+1,146.0M [1]</t>
        </is>
      </c>
    </row>
    <row r="25" ht="18.5" customHeight="1">
      <c r="A25" s="5" t="inlineStr">
        <is>
          <t xml:space="preserve">   Estabilidad / Nivel Superior de ROA</t>
        </is>
      </c>
      <c r="B25" s="33" t="inlineStr">
        <is>
          <t>Predictibilidad</t>
        </is>
      </c>
      <c r="C25" s="5" t="inlineStr">
        <is>
          <t>CV &lt; 0.40 o ROA &gt;= P75 (2.92%)</t>
        </is>
      </c>
      <c r="D25" s="34" t="inlineStr">
        <is>
          <t>CV=4.83 [1]</t>
        </is>
      </c>
      <c r="E25" s="34" t="inlineStr">
        <is>
          <t>CV=1.00 [1]</t>
        </is>
      </c>
      <c r="F25" s="35" t="inlineStr">
        <is>
          <t>CV=1.00 [0]</t>
        </is>
      </c>
      <c r="G25" s="35" t="inlineStr">
        <is>
          <t>CV=1.00 [0]</t>
        </is>
      </c>
      <c r="H25" s="35" t="inlineStr">
        <is>
          <t>N/A [0]</t>
        </is>
      </c>
    </row>
    <row r="26" ht="18.5" customHeight="1">
      <c r="A26" s="5" t="inlineStr">
        <is>
          <t xml:space="preserve">   Estabilidad / Hipercrecimiento</t>
        </is>
      </c>
      <c r="B26" s="33" t="inlineStr">
        <is>
          <t>Predictibilidad</t>
        </is>
      </c>
      <c r="C26" s="5" t="inlineStr">
        <is>
          <t>CV &lt; 0.35 o g &gt;= 20%</t>
        </is>
      </c>
      <c r="D26" s="34" t="inlineStr">
        <is>
          <t>CV=0.59 [1]</t>
        </is>
      </c>
      <c r="E26" s="34" t="inlineStr">
        <is>
          <t>CV=0.45 [1]</t>
        </is>
      </c>
      <c r="F26" s="34" t="inlineStr">
        <is>
          <t>CV=0.23 [1]</t>
        </is>
      </c>
      <c r="G26" s="34" t="inlineStr">
        <is>
          <t>Hipercrecimiento [1]</t>
        </is>
      </c>
      <c r="H26" s="35" t="inlineStr">
        <is>
          <t>N/A [0]</t>
        </is>
      </c>
    </row>
    <row r="27" ht="18.5" customHeight="1">
      <c r="A27" s="5" t="inlineStr">
        <is>
          <t xml:space="preserve">   Intensidad en I+D vs Sector</t>
        </is>
      </c>
      <c r="B27" s="33" t="inlineStr">
        <is>
          <t>Intangibles</t>
        </is>
      </c>
      <c r="C27" s="5" t="inlineStr">
        <is>
          <t>R&amp;D / Activos &gt; 1.21%</t>
        </is>
      </c>
      <c r="D27" s="35" t="inlineStr">
        <is>
          <t>0.00% [0]</t>
        </is>
      </c>
      <c r="E27" s="35" t="inlineStr">
        <is>
          <t>0.00% [0]</t>
        </is>
      </c>
      <c r="F27" s="35" t="inlineStr">
        <is>
          <t>0.00% [0]</t>
        </is>
      </c>
      <c r="G27" s="35" t="inlineStr">
        <is>
          <t>0.00% [0]</t>
        </is>
      </c>
      <c r="H27" s="35" t="inlineStr">
        <is>
          <t>0.00% [0]</t>
        </is>
      </c>
    </row>
    <row r="28" ht="18.5" customHeight="1">
      <c r="A28" s="5" t="inlineStr">
        <is>
          <t xml:space="preserve">   Inversión de Capital / Asset-Light</t>
        </is>
      </c>
      <c r="B28" s="33" t="inlineStr">
        <is>
          <t>Inversión</t>
        </is>
      </c>
      <c r="C28" s="5" t="inlineStr">
        <is>
          <t>Reinversión &gt; 1.69%</t>
        </is>
      </c>
      <c r="D28" s="35" t="inlineStr">
        <is>
          <t>0.39% (Total) [0]</t>
        </is>
      </c>
      <c r="E28" s="35" t="inlineStr">
        <is>
          <t>0.52% (Total) [0]</t>
        </is>
      </c>
      <c r="F28" s="35" t="inlineStr">
        <is>
          <t>0.10% (Total) [0]</t>
        </is>
      </c>
      <c r="G28" s="35" t="inlineStr">
        <is>
          <t>0.06% (Total) [0]</t>
        </is>
      </c>
      <c r="H28" s="35" t="inlineStr">
        <is>
          <t>0.03% (Total) [0]</t>
        </is>
      </c>
    </row>
    <row r="29" ht="18.5" customHeight="1">
      <c r="A29" s="5" t="inlineStr">
        <is>
          <t xml:space="preserve">   Apalancamiento Comercial (SG&amp;A)</t>
        </is>
      </c>
      <c r="B29" s="33" t="inlineStr">
        <is>
          <t>Eficiencia</t>
        </is>
      </c>
      <c r="C29" s="5" t="inlineStr">
        <is>
          <t>% Delta Ventas &gt; % Delta SG&amp;A</t>
        </is>
      </c>
      <c r="D29" s="34" t="inlineStr">
        <is>
          <t>N/A [1]</t>
        </is>
      </c>
      <c r="E29" s="34" t="inlineStr">
        <is>
          <t>N/A [1]</t>
        </is>
      </c>
      <c r="F29" s="34" t="inlineStr">
        <is>
          <t>N/A [1]</t>
        </is>
      </c>
      <c r="G29" s="34" t="inlineStr">
        <is>
          <t>N/A [1]</t>
        </is>
      </c>
      <c r="H29" s="35" t="inlineStr">
        <is>
          <t>N/A [0]</t>
        </is>
      </c>
    </row>
    <row r="30" ht="18.5" customHeight="1">
      <c r="A30" s="13" t="inlineStr">
        <is>
          <t>TOTAL MOHANRAM G-SCORE (0 a 8 Pts)</t>
        </is>
      </c>
      <c r="B30" s="13" t="inlineStr">
        <is>
          <t>PUNTUACIÓN</t>
        </is>
      </c>
      <c r="C30" s="13" t="inlineStr">
        <is>
          <t>Escala 0-8 (&gt;=6 Élite)</t>
        </is>
      </c>
      <c r="D30" s="37" t="inlineStr">
        <is>
          <t>6 / 8 Pts</t>
        </is>
      </c>
      <c r="E30" s="37" t="inlineStr">
        <is>
          <t>6 / 8 Pts</t>
        </is>
      </c>
      <c r="F30" s="36" t="inlineStr">
        <is>
          <t>4 / 8 Pts</t>
        </is>
      </c>
      <c r="G30" s="38" t="inlineStr">
        <is>
          <t>2 / 8 Pts</t>
        </is>
      </c>
      <c r="H30" s="38" t="inlineStr">
        <is>
          <t>2 / 8 Pts</t>
        </is>
      </c>
    </row>
    <row r="31" ht="18.5" customHeight="1">
      <c r="A31" s="33" t="inlineStr">
        <is>
          <t>Dictamen de Calidad de Crecimiento</t>
        </is>
      </c>
      <c r="B31" s="33" t="inlineStr">
        <is>
          <t>-</t>
        </is>
      </c>
      <c r="C31" s="33" t="inlineStr">
        <is>
          <t>Clasificación</t>
        </is>
      </c>
      <c r="D31" s="39" t="inlineStr">
        <is>
          <t>CRECIMIENTO DE ÉLITE</t>
        </is>
      </c>
      <c r="E31" s="39" t="inlineStr">
        <is>
          <t>CRECIMIENTO DE ÉLITE</t>
        </is>
      </c>
      <c r="F31" s="39" t="inlineStr">
        <is>
          <t>CRECIMIENTO PROMEDIO</t>
        </is>
      </c>
      <c r="G31" s="39" t="inlineStr">
        <is>
          <t>CRECIMIENTO FRÁGIL</t>
        </is>
      </c>
      <c r="H31" s="39" t="inlineStr">
        <is>
          <t>CRECIMIENTO FRÁGIL</t>
        </is>
      </c>
    </row>
    <row r="32" ht="10" customHeight="1"/>
    <row r="33" ht="10" customHeight="1"/>
    <row r="34" ht="22" customHeight="1">
      <c r="A34" s="18" t="inlineStr">
        <is>
          <t>MATRIZ COMBINADA Y CLASIFICACIÓN ESTRATÉGICA</t>
        </is>
      </c>
      <c r="B34" s="19" t="n"/>
      <c r="C34" s="19" t="n"/>
      <c r="D34" s="19" t="n"/>
      <c r="E34" s="19" t="n"/>
      <c r="F34" s="19" t="n"/>
      <c r="G34" s="19" t="n"/>
      <c r="H34" s="19" t="n"/>
    </row>
    <row r="35" ht="18.5" customHeight="1">
      <c r="A35" s="40" t="inlineStr">
        <is>
          <t xml:space="preserve">   Cuadrante Estratégico</t>
        </is>
      </c>
      <c r="B35" s="33" t="inlineStr">
        <is>
          <t>Posición</t>
        </is>
      </c>
      <c r="C35" s="33" t="inlineStr">
        <is>
          <t>Matriz 2x2</t>
        </is>
      </c>
      <c r="D35" s="39" t="inlineStr">
        <is>
          <t>💎 COMPOUNDER DE ÉLITE</t>
        </is>
      </c>
      <c r="E35" s="39" t="inlineStr">
        <is>
          <t>💎 COMPOUNDER DE ÉLITE</t>
        </is>
      </c>
      <c r="F35" s="39" t="inlineStr">
        <is>
          <t>🚨 TRAMPA DE VALOR / DETERIORO</t>
        </is>
      </c>
      <c r="G35" s="39" t="inlineStr">
        <is>
          <t>🚨 TRAMPA DE VALOR / DETERIORO</t>
        </is>
      </c>
      <c r="H35" s="39" t="inlineStr">
        <is>
          <t>🚨 TRAMPA DE VALOR / DETERIORO</t>
        </is>
      </c>
    </row>
    <row r="36" ht="10" customHeight="1"/>
    <row r="37" ht="10" customHeight="1"/>
    <row r="38" ht="22" customHeight="1">
      <c r="A38" s="18" t="inlineStr">
        <is>
          <t>PRODUCTIVIDAD PURA DEL CAPITAL (NOVY-MARX GP/A &amp; DUPONT)</t>
        </is>
      </c>
      <c r="B38" s="19" t="n"/>
      <c r="C38" s="19" t="n"/>
      <c r="D38" s="19" t="n"/>
      <c r="E38" s="19" t="n"/>
      <c r="F38" s="19" t="n"/>
      <c r="G38" s="19" t="n"/>
      <c r="H38" s="19" t="n"/>
    </row>
    <row r="39" ht="22" customHeight="1">
      <c r="A39" s="5" t="inlineStr">
        <is>
          <t xml:space="preserve">   Gross Profitability (Activos Totales)</t>
        </is>
      </c>
      <c r="B39" s="33" t="inlineStr">
        <is>
          <t>Métrica Base</t>
        </is>
      </c>
      <c r="C39" s="5" t="inlineStr">
        <is>
          <t>GP / Activos Totales</t>
        </is>
      </c>
      <c r="D39" s="20" t="n">
        <v>0.1052029097469971</v>
      </c>
      <c r="E39" s="20" t="n">
        <v>0.08025350513072317</v>
      </c>
      <c r="F39" s="20" t="n">
        <v>0.05555360316890615</v>
      </c>
      <c r="G39" s="20" t="n">
        <v>0.036906630405111</v>
      </c>
      <c r="H39" s="20" t="n">
        <v>0.03219430287810523</v>
      </c>
    </row>
    <row r="40" ht="22" customHeight="1">
      <c r="A40" s="5" t="inlineStr">
        <is>
          <t xml:space="preserve">   Gross Profitability Operativa (Ex-Caja)</t>
        </is>
      </c>
      <c r="B40" s="33" t="inlineStr">
        <is>
          <t>Métrica Operativa</t>
        </is>
      </c>
      <c r="C40" s="5" t="inlineStr">
        <is>
          <t>GP / (Activos - Caja)</t>
        </is>
      </c>
      <c r="D40" s="20" t="n">
        <v>0.1289200674862719</v>
      </c>
      <c r="E40" s="20" t="n">
        <v>0.09290491454040636</v>
      </c>
      <c r="F40" s="20" t="n">
        <v>0.06455066026833672</v>
      </c>
      <c r="G40" s="20" t="n">
        <v>0.04272819586257942</v>
      </c>
      <c r="H40" s="20" t="n">
        <v>0.04185522766235578</v>
      </c>
    </row>
    <row r="41" ht="22" customHeight="1">
      <c r="A41" s="40" t="inlineStr">
        <is>
          <t xml:space="preserve">   Efecto Arrastre de Caja (Cash Drag)</t>
        </is>
      </c>
      <c r="B41" s="33" t="inlineStr">
        <is>
          <t>Dilución de Caja</t>
        </is>
      </c>
      <c r="C41" s="5" t="inlineStr">
        <is>
          <t>Ex-Caja vs Total (p.p.)</t>
        </is>
      </c>
      <c r="D41" s="41" t="n">
        <v>0.02371715773927471</v>
      </c>
      <c r="E41" s="41" t="n">
        <v>0.01265140940968319</v>
      </c>
      <c r="F41" s="41" t="n">
        <v>0.008997057099430571</v>
      </c>
      <c r="G41" s="41" t="n">
        <v>0.005821565457468425</v>
      </c>
      <c r="H41" s="41" t="n">
        <v>0.009660924784250555</v>
      </c>
    </row>
    <row r="42" ht="22" customHeight="1">
      <c r="A42" s="5" t="inlineStr">
        <is>
          <t xml:space="preserve">   Margen Bruto de Utilidad (DuPont)</t>
        </is>
      </c>
      <c r="B42" s="33" t="inlineStr">
        <is>
          <t>Fijación Precios</t>
        </is>
      </c>
      <c r="C42" s="5" t="inlineStr">
        <is>
          <t>Utilidad Bruta / Ventas</t>
        </is>
      </c>
      <c r="D42" s="20" t="n">
        <v>0.456097490031106</v>
      </c>
      <c r="E42" s="20" t="n">
        <v>0.434788072601039</v>
      </c>
      <c r="F42" s="20" t="n">
        <v>0.3470179129511912</v>
      </c>
      <c r="G42" s="20" t="n">
        <v>0.4316296069016733</v>
      </c>
      <c r="H42" s="20" t="n">
        <v>0.44348713190157</v>
      </c>
    </row>
    <row r="43" ht="22" customHeight="1">
      <c r="A43" s="5" t="inlineStr">
        <is>
          <t xml:space="preserve">   Rotación de Activos Totales (DuPont)</t>
        </is>
      </c>
      <c r="B43" s="33" t="inlineStr">
        <is>
          <t>Velocidad de Capital</t>
        </is>
      </c>
      <c r="C43" s="5" t="inlineStr">
        <is>
          <t>Ventas / Activos Totales</t>
        </is>
      </c>
      <c r="D43" s="22" t="n">
        <v>0.2306588219545393</v>
      </c>
      <c r="E43" s="22" t="n">
        <v>0.1845807421777269</v>
      </c>
      <c r="F43" s="22" t="n">
        <v>0.1600885749569933</v>
      </c>
      <c r="G43" s="22" t="n">
        <v>0.08550532636079909</v>
      </c>
      <c r="H43" s="22" t="n">
        <v>0.07259354457493168</v>
      </c>
    </row>
    <row r="44" ht="22" customHeight="1">
      <c r="A44" s="40" t="inlineStr">
        <is>
          <t xml:space="preserve">   Dictamen Estratégico de Productividad</t>
        </is>
      </c>
      <c r="B44" s="33" t="inlineStr">
        <is>
          <t>Diagnóstico</t>
        </is>
      </c>
      <c r="C44" s="5" t="inlineStr">
        <is>
          <t>Desempeño Sectorial</t>
        </is>
      </c>
      <c r="D44" s="39" t="inlineStr">
        <is>
          <t>PRODUCTIVIDAD SOBRESALIENTE</t>
        </is>
      </c>
      <c r="E44" s="39" t="inlineStr">
        <is>
          <t>PRODUCTIVIDAD SÓLIDA</t>
        </is>
      </c>
      <c r="F44" s="39" t="inlineStr">
        <is>
          <t>PRODUCTIVIDAD REZAGADA</t>
        </is>
      </c>
      <c r="G44" s="39" t="inlineStr">
        <is>
          <t>PRODUCTIVIDAD REZAGADA</t>
        </is>
      </c>
      <c r="H44" s="39" t="inlineStr">
        <is>
          <t>PRODUCTIVIDAD REZAGADA</t>
        </is>
      </c>
    </row>
    <row r="45" ht="22" customHeight="1">
      <c r="A45" s="40" t="inlineStr">
        <is>
          <t xml:space="preserve">   Cuadrante Estratégico DuPont</t>
        </is>
      </c>
      <c r="B45" s="33" t="inlineStr">
        <is>
          <t>Estrategia</t>
        </is>
      </c>
      <c r="C45" s="5" t="inlineStr">
        <is>
          <t>Margen vs Rotación</t>
        </is>
      </c>
      <c r="D45" s="39" t="inlineStr">
        <is>
          <t>⚡ LÍDER EN VOLUMEN Y VELOCIDAD</t>
        </is>
      </c>
      <c r="E45" s="39" t="inlineStr">
        <is>
          <t>⚡ LÍDER EN VOLUMEN Y VELOCIDAD</t>
        </is>
      </c>
      <c r="F45" s="39" t="inlineStr">
        <is>
          <t>⚡ LÍDER EN VOLUMEN Y VELOCIDAD</t>
        </is>
      </c>
      <c r="G45" s="39" t="inlineStr">
        <is>
          <t>⚠️ BAJA PRODUCTIVIDAD DE CAPITAL</t>
        </is>
      </c>
      <c r="H45" s="39" t="inlineStr">
        <is>
          <t>⚠️ BAJA PRODUCTIVIDAD DE CAPITAL</t>
        </is>
      </c>
    </row>
    <row r="46" ht="22" customHeight="1">
      <c r="A46" s="40" t="inlineStr">
        <is>
          <t xml:space="preserve">   Ajuste Sectorial vs Mediana (De-meaning)</t>
        </is>
      </c>
      <c r="B46" s="33" t="inlineStr">
        <is>
          <t>Ventaja Neta</t>
        </is>
      </c>
      <c r="C46" s="5" t="inlineStr">
        <is>
          <t>GP/A Empresa - Mediana</t>
        </is>
      </c>
      <c r="D46" s="41" t="n">
        <v>0.04760290974699714</v>
      </c>
      <c r="E46" s="41" t="n">
        <v>0.02265350513072317</v>
      </c>
      <c r="F46" s="41" t="n">
        <v>-0.002046396831093845</v>
      </c>
      <c r="G46" s="41" t="n">
        <v>-0.020693369594889</v>
      </c>
      <c r="H46" s="41" t="n">
        <v>-0.02540569712189477</v>
      </c>
    </row>
    <row r="47" ht="10" customHeight="1"/>
    <row r="48" ht="10" customHeight="1"/>
    <row r="49" ht="10" customHeight="1"/>
    <row r="50" ht="22" customHeight="1">
      <c r="A50" s="18" t="inlineStr">
        <is>
          <t>RENDIMIENTO DEL CAPITAL (ROIC AJUSTADO VS WACC) Y CREACIÓN DE VALOR</t>
        </is>
      </c>
      <c r="B50" s="19" t="n"/>
      <c r="C50" s="19" t="n"/>
      <c r="D50" s="19" t="n"/>
      <c r="E50" s="19" t="n"/>
      <c r="F50" s="19" t="n"/>
      <c r="G50" s="19" t="n"/>
      <c r="H50" s="19" t="n"/>
    </row>
    <row r="51" ht="22" customHeight="1">
      <c r="A51" s="40" t="inlineStr">
        <is>
          <t xml:space="preserve">   ROC Greenblatt (EBIT / Capital Tangible Operativo Promedio)</t>
        </is>
      </c>
      <c r="B51" s="33" t="inlineStr">
        <is>
          <t>Productividad Pura</t>
        </is>
      </c>
      <c r="C51" s="5" t="inlineStr">
        <is>
          <t>EBIT / (NWC + Net PP&amp;E) Promedio</t>
        </is>
      </c>
      <c r="D51" s="42" t="n">
        <v>60.51929479999387</v>
      </c>
      <c r="E51" s="42" t="n">
        <v>30.86528093925962</v>
      </c>
      <c r="F51" s="43" t="n">
        <v>-17.53158135173475</v>
      </c>
      <c r="G51" s="43" t="n">
        <v>-13.77294544847448</v>
      </c>
      <c r="H51" s="43" t="n">
        <v>-17.4102538071066</v>
      </c>
    </row>
    <row r="52" ht="22" customHeight="1">
      <c r="A52" s="5" t="inlineStr">
        <is>
          <t xml:space="preserve">      (+) EBIT Operativo ($M) [Income Statement]</t>
        </is>
      </c>
      <c r="B52" s="33" t="inlineStr">
        <is>
          <t>Desglose ROC</t>
        </is>
      </c>
      <c r="C52" s="5" t="inlineStr">
        <is>
          <t>Beneficio Operativo Auditado</t>
        </is>
      </c>
      <c r="D52" s="23" t="n">
        <v>1972.112</v>
      </c>
      <c r="E52" s="23" t="n">
        <v>1030.53</v>
      </c>
      <c r="F52" s="23" t="n">
        <v>-364.578</v>
      </c>
      <c r="G52" s="23" t="n">
        <v>-164.993</v>
      </c>
      <c r="H52" s="23" t="n">
        <v>-171.491</v>
      </c>
    </row>
    <row r="53" ht="22" customHeight="1">
      <c r="A53" s="5" t="inlineStr">
        <is>
          <t xml:space="preserve">      (+) Activos Corrientes Operativos ex-Caja ($M)</t>
        </is>
      </c>
      <c r="B53" s="33" t="inlineStr">
        <is>
          <t>Desglose ROC</t>
        </is>
      </c>
      <c r="C53" s="5" t="inlineStr">
        <is>
          <t>Current Assets - Efectivo</t>
        </is>
      </c>
      <c r="D53" s="23" t="n">
        <v>0</v>
      </c>
      <c r="E53" s="23" t="n">
        <v>0</v>
      </c>
      <c r="F53" s="23" t="n">
        <v>0</v>
      </c>
      <c r="G53" s="23" t="n">
        <v>0</v>
      </c>
      <c r="H53" s="23" t="n">
        <v>0</v>
      </c>
    </row>
    <row r="54" ht="22" customHeight="1">
      <c r="A54" s="5" t="inlineStr">
        <is>
          <t xml:space="preserve">      (-) Pasivos Corrientes Operativos ex-Deuda CP ($M)</t>
        </is>
      </c>
      <c r="B54" s="33" t="inlineStr">
        <is>
          <t>Desglose ROC</t>
        </is>
      </c>
      <c r="C54" s="5" t="inlineStr">
        <is>
          <t>Current Liabilities - Deuda CP</t>
        </is>
      </c>
      <c r="D54" s="23" t="n">
        <v>0</v>
      </c>
      <c r="E54" s="23" t="n">
        <v>0</v>
      </c>
      <c r="F54" s="23" t="n">
        <v>0</v>
      </c>
      <c r="G54" s="23" t="n">
        <v>0</v>
      </c>
      <c r="H54" s="23" t="n">
        <v>0</v>
      </c>
    </row>
    <row r="55" ht="22" customHeight="1">
      <c r="A55" s="5" t="inlineStr">
        <is>
          <t xml:space="preserve">      (=) Capital de Trabajo Neto Operativo (NWC $M)</t>
        </is>
      </c>
      <c r="B55" s="33" t="inlineStr">
        <is>
          <t>Desglose ROC</t>
        </is>
      </c>
      <c r="C55" s="5" t="inlineStr">
        <is>
          <t>Activos Op. - Pasivos Op.</t>
        </is>
      </c>
      <c r="D55" s="23" t="n">
        <v>0</v>
      </c>
      <c r="E55" s="23" t="n">
        <v>0</v>
      </c>
      <c r="F55" s="23" t="n">
        <v>0</v>
      </c>
      <c r="G55" s="23" t="n">
        <v>0</v>
      </c>
      <c r="H55" s="23" t="n">
        <v>0</v>
      </c>
    </row>
    <row r="56" ht="22" customHeight="1">
      <c r="A56" s="5" t="inlineStr">
        <is>
          <t xml:space="preserve">      (+) PP&amp;E Neto ($M) [Balance Sheet]</t>
        </is>
      </c>
      <c r="B56" s="33" t="inlineStr">
        <is>
          <t>Desglose ROC</t>
        </is>
      </c>
      <c r="C56" s="5" t="inlineStr">
        <is>
          <t>Property, Plant &amp; Equipment Net</t>
        </is>
      </c>
      <c r="D56" s="23" t="n">
        <v>25.879</v>
      </c>
      <c r="E56" s="23" t="n">
        <v>39.294</v>
      </c>
      <c r="F56" s="23" t="n">
        <v>27.482</v>
      </c>
      <c r="G56" s="23" t="n">
        <v>14.109</v>
      </c>
      <c r="H56" s="23" t="n">
        <v>9.85</v>
      </c>
    </row>
    <row r="57" ht="22" customHeight="1">
      <c r="A57" s="5" t="inlineStr">
        <is>
          <t xml:space="preserve">      (=) Capital Tangible Operativo al Cierre ($M)</t>
        </is>
      </c>
      <c r="B57" s="33" t="inlineStr">
        <is>
          <t>Desglose ROC</t>
        </is>
      </c>
      <c r="C57" s="5" t="inlineStr">
        <is>
          <t>Net PP&amp;E + max(0, NWC)</t>
        </is>
      </c>
      <c r="D57" s="23" t="n">
        <v>25.879</v>
      </c>
      <c r="E57" s="23" t="n">
        <v>39.294</v>
      </c>
      <c r="F57" s="23" t="n">
        <v>27.482</v>
      </c>
      <c r="G57" s="23" t="n">
        <v>14.109</v>
      </c>
      <c r="H57" s="23" t="n">
        <v>9.85</v>
      </c>
    </row>
    <row r="58" ht="22" customHeight="1">
      <c r="A58" s="5" t="inlineStr">
        <is>
          <t xml:space="preserve">      (=) Capital Tangible Operativo Promedio ($M)</t>
        </is>
      </c>
      <c r="B58" s="33" t="inlineStr">
        <is>
          <t>Desglose ROC</t>
        </is>
      </c>
      <c r="C58" s="5" t="inlineStr">
        <is>
          <t>Denominador ((t + t-1)/2)</t>
        </is>
      </c>
      <c r="D58" s="23" t="n">
        <v>32.5865</v>
      </c>
      <c r="E58" s="23" t="n">
        <v>33.388</v>
      </c>
      <c r="F58" s="23" t="n">
        <v>20.7955</v>
      </c>
      <c r="G58" s="23" t="n">
        <v>11.9795</v>
      </c>
      <c r="H58" s="23" t="n">
        <v>9.85</v>
      </c>
    </row>
    <row r="59" ht="22" customHeight="1">
      <c r="A59" s="40" t="inlineStr">
        <is>
          <t xml:space="preserve">   ROIC Tradicional (NOPAT / Capital Invertido Promedio)</t>
        </is>
      </c>
      <c r="B59" s="33" t="inlineStr">
        <is>
          <t>Retorno Contable</t>
        </is>
      </c>
      <c r="C59" s="5" t="inlineStr">
        <is>
          <t>EBIT*(1-t) / IC Promedio</t>
        </is>
      </c>
      <c r="D59" s="43" t="n">
        <v>0.105969678863438</v>
      </c>
      <c r="E59" s="43" t="n">
        <v>0.08708302474210998</v>
      </c>
      <c r="F59" s="43" t="n">
        <v>0.06122544078532631</v>
      </c>
      <c r="G59" s="43" t="n">
        <v>0.04638812559597069</v>
      </c>
      <c r="H59" s="43" t="n">
        <v>0.03306562985326107</v>
      </c>
    </row>
    <row r="60" ht="22" customHeight="1">
      <c r="A60" s="40" t="inlineStr">
        <is>
          <t xml:space="preserve">   ROIC Ajustado por Intangibles (Damodaran - Capital Promedio)</t>
        </is>
      </c>
      <c r="B60" s="33" t="inlineStr">
        <is>
          <t>Retorno Económico</t>
        </is>
      </c>
      <c r="C60" s="5" t="inlineStr">
        <is>
          <t>NOPAT Adj / IC Promedio</t>
        </is>
      </c>
      <c r="D60" s="43" t="n">
        <v>0.105969678863438</v>
      </c>
      <c r="E60" s="43" t="n">
        <v>0.08708302474210998</v>
      </c>
      <c r="F60" s="43" t="n">
        <v>0.06122544078532631</v>
      </c>
      <c r="G60" s="43" t="n">
        <v>0.04638812559597069</v>
      </c>
      <c r="H60" s="43" t="n">
        <v>0.03306562985326107</v>
      </c>
    </row>
    <row r="61" ht="22" customHeight="1">
      <c r="A61" s="5" t="inlineStr">
        <is>
          <t xml:space="preserve">   Stock de Intangibles Capitalizados ($M)</t>
        </is>
      </c>
      <c r="B61" s="33" t="inlineStr">
        <is>
          <t>Capital Oculto</t>
        </is>
      </c>
      <c r="C61" s="5" t="inlineStr">
        <is>
          <t>Stock Neto I+D y Marca</t>
        </is>
      </c>
      <c r="D61" s="23" t="n">
        <v>0</v>
      </c>
      <c r="E61" s="23" t="n">
        <v>0</v>
      </c>
      <c r="F61" s="23" t="n">
        <v>0</v>
      </c>
      <c r="G61" s="23" t="n">
        <v>0</v>
      </c>
      <c r="H61" s="23" t="n">
        <v>0</v>
      </c>
    </row>
    <row r="62" ht="22" customHeight="1">
      <c r="A62" s="5" t="inlineStr">
        <is>
          <t xml:space="preserve">   Capital Invertido Reconstituido Promedio ($M)</t>
        </is>
      </c>
      <c r="B62" s="33" t="inlineStr">
        <is>
          <t>Base de Capital</t>
        </is>
      </c>
      <c r="C62" s="5" t="inlineStr">
        <is>
          <t>Activos Operativos + Intangibles Prom.</t>
        </is>
      </c>
      <c r="D62" s="23" t="n">
        <v>39160.2405</v>
      </c>
      <c r="E62" s="23" t="n">
        <v>31668.7825</v>
      </c>
      <c r="F62" s="23" t="n">
        <v>21457.781</v>
      </c>
      <c r="G62" s="23" t="n">
        <v>12481.738</v>
      </c>
      <c r="H62" s="23" t="n">
        <v>7810.469999999999</v>
      </c>
    </row>
    <row r="63" ht="22" customHeight="1">
      <c r="A63" s="5" t="inlineStr">
        <is>
          <t xml:space="preserve">   Costo Promedio Ponderado de Capital (WACC)</t>
        </is>
      </c>
      <c r="B63" s="33" t="inlineStr">
        <is>
          <t>Tasa de Corte</t>
        </is>
      </c>
      <c r="C63" s="5" t="inlineStr">
        <is>
          <t>Costo Ponderado Equity + Deuda</t>
        </is>
      </c>
      <c r="D63" s="20" t="n">
        <v>0.09426</v>
      </c>
      <c r="E63" s="20" t="n">
        <v>0.09426</v>
      </c>
      <c r="F63" s="20" t="n">
        <v>0.09426</v>
      </c>
      <c r="G63" s="20" t="n">
        <v>0.09426</v>
      </c>
      <c r="H63" s="20" t="n">
        <v>0.09426</v>
      </c>
    </row>
    <row r="64" ht="22" customHeight="1">
      <c r="A64" s="40" t="inlineStr">
        <is>
          <t xml:space="preserve">   Spread Económico Neto (ROIC Adj - WACC)</t>
        </is>
      </c>
      <c r="B64" s="33" t="inlineStr">
        <is>
          <t>Creación de Valor</t>
        </is>
      </c>
      <c r="C64" s="5" t="inlineStr">
        <is>
          <t>Excedente sobre Costo de Capital</t>
        </is>
      </c>
      <c r="D64" s="41" t="n">
        <v>0.01170967886343803</v>
      </c>
      <c r="E64" s="44" t="n">
        <v>-0.007176975257890017</v>
      </c>
      <c r="F64" s="44" t="n">
        <v>-0.03303455921467369</v>
      </c>
      <c r="G64" s="44" t="n">
        <v>-0.0478718744040293</v>
      </c>
      <c r="H64" s="44" t="n">
        <v>-0.06119437014673892</v>
      </c>
    </row>
    <row r="65" ht="10" customHeight="1"/>
    <row r="66" ht="10" customHeight="1"/>
    <row r="67" ht="22" customHeight="1">
      <c r="A67" s="18" t="inlineStr">
        <is>
          <t>AUDITORÍA DE MERCADO EN TIEMPO REAL &amp; FOSO DEFENSIVO</t>
        </is>
      </c>
      <c r="B67" s="19" t="n"/>
      <c r="C67" s="19" t="n"/>
      <c r="D67" s="19" t="n"/>
      <c r="E67" s="19" t="n"/>
      <c r="F67" s="19" t="n"/>
      <c r="G67" s="19" t="n"/>
      <c r="H67" s="19" t="n"/>
    </row>
    <row r="68" ht="18.5" customHeight="1">
      <c r="A68" s="40" t="inlineStr">
        <is>
          <t xml:space="preserve">   Dictamen de Foso Defensivo (Moat)</t>
        </is>
      </c>
      <c r="B68" s="45" t="inlineStr">
        <is>
          <t>⚖️ RENDIMIENTO COMPETITIVO ESTÁNDAR</t>
        </is>
      </c>
      <c r="C68" s="40" t="inlineStr">
        <is>
          <t>Ke: 9.43% | Kd: 0.00%</t>
        </is>
      </c>
      <c r="D68" s="5" t="inlineStr">
        <is>
          <t>Precio: $14.16 | Market Cap: $67,855.9M</t>
        </is>
      </c>
    </row>
    <row r="69" ht="18.5" customHeight="1">
      <c r="A69" s="40" t="inlineStr">
        <is>
          <t xml:space="preserve">   Parámetros Macro y Validación</t>
        </is>
      </c>
      <c r="B69" s="5" t="inlineStr">
        <is>
          <t>Rf (Bono 10Y): 4.96% | Beta: 0.94</t>
        </is>
      </c>
      <c r="C69" s="33" t="inlineStr">
        <is>
          <t>Sensibilidad N-1 (2a): 10.60%</t>
        </is>
      </c>
      <c r="D69" s="33" t="inlineStr">
        <is>
          <t>Sensibilidad N+1 (4a): 10.60%</t>
        </is>
      </c>
    </row>
  </sheetData>
  <mergeCells count="2">
    <mergeCell ref="C5:H5"/>
    <mergeCell ref="E4:H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23"/>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ht="30" customHeight="1">
      <c r="A1" s="1" t="inlineStr">
        <is>
          <t>Nu Holdings Ltd. (NU) - Análisis de Pares y Distribución Sectorial (SIC 6199)</t>
        </is>
      </c>
    </row>
    <row r="2" ht="18" customHeight="1">
      <c r="A2" s="2" t="inlineStr">
        <is>
          <t>Auditoría Contable del Grupo de Pares y Cálculo Estadístico de Medianas Oficiales para el Mohanram G-Score | Base: LTM (Últimos 12 Meses Móviles / FY2024-FY2025 Auditado)</t>
        </is>
      </c>
    </row>
    <row r="3" ht="8" customHeight="1"/>
    <row r="4" ht="22" customHeight="1">
      <c r="A4" s="18" t="inlineStr">
        <is>
          <t>GRUPO DE PARES COMPARABLES</t>
        </is>
      </c>
      <c r="B4" s="27" t="inlineStr">
        <is>
          <t>Industria: Digital Financial Services &amp; FinTech Banking</t>
        </is>
      </c>
      <c r="C4" s="27" t="inlineStr">
        <is>
          <t>Empresas Auditadas: 3</t>
        </is>
      </c>
      <c r="D4" s="46" t="inlineStr">
        <is>
          <t>Fuente: SEC EDGAR Form 20-F, 10-K &amp; 6-K Audited Reports</t>
        </is>
      </c>
      <c r="E4" s="19" t="n"/>
      <c r="F4" s="19" t="n"/>
      <c r="G4" s="19" t="n"/>
      <c r="H4" s="19" t="n"/>
      <c r="I4" s="19" t="n"/>
      <c r="J4" s="19" t="n"/>
      <c r="K4" s="19" t="n"/>
      <c r="L4" s="19" t="n"/>
      <c r="M4" s="19" t="n"/>
      <c r="N4" s="19" t="n"/>
      <c r="O4" s="19" t="n"/>
      <c r="P4" s="19" t="n"/>
      <c r="Q4" s="19" t="n"/>
      <c r="R4" s="19" t="n"/>
      <c r="S4" s="19" t="n"/>
      <c r="T4" s="19" t="n"/>
    </row>
    <row r="5" ht="10" customHeight="1"/>
    <row r="6" ht="25" customHeight="1">
      <c r="A6" s="47" t="inlineStr">
        <is>
          <t>Ticker</t>
        </is>
      </c>
      <c r="B6" s="47" t="inlineStr">
        <is>
          <t>Empresa Competidora</t>
        </is>
      </c>
      <c r="C6" s="47" t="inlineStr">
        <is>
          <t>Ingresos LTM ($M)</t>
        </is>
      </c>
      <c r="D6" s="47" t="inlineStr">
        <is>
          <t>Activos Totales LTM ($M)</t>
        </is>
      </c>
      <c r="E6" s="47" t="inlineStr">
        <is>
          <t>Gasto I+D LTM ($M)</t>
        </is>
      </c>
      <c r="F6" s="47" t="inlineStr">
        <is>
          <t>Intensidad I+D (I+D/Act)</t>
        </is>
      </c>
      <c r="G6" s="47" t="inlineStr">
        <is>
          <t>CapEx LTM ($M)</t>
        </is>
      </c>
      <c r="H6" s="47" t="inlineStr">
        <is>
          <t>Inversión Total ((I+D+CapEx)/Act)</t>
        </is>
      </c>
      <c r="I6" s="47" t="inlineStr">
        <is>
          <t>Utilidad Neta LTM ($M)</t>
        </is>
      </c>
      <c r="J6" s="47" t="inlineStr">
        <is>
          <t>ROA LTM (%)</t>
        </is>
      </c>
      <c r="K6" s="47" t="inlineStr">
        <is>
          <t>Flujo Operativo CFO LTM ($M)</t>
        </is>
      </c>
      <c r="L6" s="47" t="inlineStr">
        <is>
          <t>CFROA LTM (%)</t>
        </is>
      </c>
      <c r="M6" s="47" t="inlineStr">
        <is>
          <t>Gastos SG&amp;A LTM ($M)</t>
        </is>
      </c>
      <c r="N6" s="47" t="inlineStr">
        <is>
          <t>Utilidad Bruta LTM ($M)</t>
        </is>
      </c>
      <c r="O6" s="47" t="inlineStr">
        <is>
          <t>GP / Activos (%) [Novy-Marx]</t>
        </is>
      </c>
      <c r="P6" s="47" t="inlineStr">
        <is>
          <t>GP / Activos Ex-Caja (%)</t>
        </is>
      </c>
      <c r="Q6" s="47" t="inlineStr">
        <is>
          <t>ROIC Ajustado (%)</t>
        </is>
      </c>
      <c r="R6" s="47" t="inlineStr">
        <is>
          <t>WACC (%)</t>
        </is>
      </c>
      <c r="S6" s="47" t="inlineStr">
        <is>
          <t>Spread Económico (%)</t>
        </is>
      </c>
      <c r="T6" s="47" t="inlineStr">
        <is>
          <t>ROC Greenblatt (%)</t>
        </is>
      </c>
    </row>
    <row r="7" ht="22" customHeight="1">
      <c r="A7" s="48" t="inlineStr">
        <is>
          <t>NU</t>
        </is>
      </c>
      <c r="B7" s="28" t="inlineStr">
        <is>
          <t>Nu Holdings Ltd.</t>
        </is>
      </c>
      <c r="C7" s="49" t="n">
        <v>11520</v>
      </c>
      <c r="D7" s="49" t="n">
        <v>43850</v>
      </c>
      <c r="E7" s="49" t="n">
        <v>850</v>
      </c>
      <c r="F7" s="50">
        <f>IF(D7&gt;0, E7/D7, 0)</f>
        <v/>
      </c>
      <c r="G7" s="49" t="n">
        <v>180</v>
      </c>
      <c r="H7" s="50">
        <f>IF(D7&gt;0, (E7+G7)/D7, 0)</f>
        <v/>
      </c>
      <c r="I7" s="49" t="n">
        <v>1950</v>
      </c>
      <c r="J7" s="50">
        <f>IF(D7&gt;0, I7/D7, 0)</f>
        <v/>
      </c>
      <c r="K7" s="49" t="n">
        <v>2400</v>
      </c>
      <c r="L7" s="50">
        <f>IF(D7&gt;0, K7/D7, 0)</f>
        <v/>
      </c>
      <c r="M7" s="49" t="n">
        <v>2800</v>
      </c>
      <c r="N7" s="49" t="n">
        <v>5100</v>
      </c>
      <c r="O7" s="50">
        <f>IF(D7&gt;0, N7/D7, 0)</f>
        <v/>
      </c>
      <c r="P7" s="50" t="n">
        <v>0.128625472887768</v>
      </c>
      <c r="Q7" s="50" t="n">
        <v>0.105969678863438</v>
      </c>
      <c r="R7" s="50" t="n">
        <v>0.09426</v>
      </c>
      <c r="S7" s="51">
        <f>Q7-R7</f>
        <v/>
      </c>
      <c r="T7" s="50" t="n">
        <v>60.51929479999387</v>
      </c>
    </row>
    <row r="8" ht="18.5" customHeight="1">
      <c r="A8" s="21" t="inlineStr">
        <is>
          <t>SOFI</t>
        </is>
      </c>
      <c r="B8" s="52" t="inlineStr">
        <is>
          <t>SoFi Technologies, Inc.</t>
        </is>
      </c>
      <c r="C8" s="23" t="n">
        <v>2600</v>
      </c>
      <c r="D8" s="23" t="n">
        <v>34000</v>
      </c>
      <c r="E8" s="23" t="n">
        <v>410</v>
      </c>
      <c r="F8" s="20">
        <f>IF(D8&gt;0, E8/D8, 0)</f>
        <v/>
      </c>
      <c r="G8" s="23" t="n">
        <v>165</v>
      </c>
      <c r="H8" s="20">
        <f>IF(D8&gt;0, (E8+G8)/D8, 0)</f>
        <v/>
      </c>
      <c r="I8" s="23" t="n">
        <v>210</v>
      </c>
      <c r="J8" s="20">
        <f>IF(D8&gt;0, I8/D8, 0)</f>
        <v/>
      </c>
      <c r="K8" s="23" t="n">
        <v>580</v>
      </c>
      <c r="L8" s="20">
        <f>IF(D8&gt;0, K8/D8, 0)</f>
        <v/>
      </c>
      <c r="M8" s="23" t="n">
        <v>1200</v>
      </c>
      <c r="N8" s="23" t="n">
        <v>1850</v>
      </c>
      <c r="O8" s="20">
        <f>IF(D8&gt;0, N8/D8, 0)</f>
        <v/>
      </c>
      <c r="P8" s="20" t="n">
        <v>0.05987055016181229</v>
      </c>
      <c r="Q8" s="20" t="n">
        <v>0.065</v>
      </c>
      <c r="R8" s="20" t="n">
        <v>0.115</v>
      </c>
      <c r="S8" s="24">
        <f>Q8-R8</f>
        <v/>
      </c>
      <c r="T8" s="20" t="n">
        <v>0.08</v>
      </c>
    </row>
    <row r="9" ht="18.5" customHeight="1">
      <c r="A9" s="21" t="inlineStr">
        <is>
          <t>INTR</t>
        </is>
      </c>
      <c r="B9" s="52" t="inlineStr">
        <is>
          <t>Inter &amp; Co, Inc.</t>
        </is>
      </c>
      <c r="C9" s="23" t="n">
        <v>1450</v>
      </c>
      <c r="D9" s="23" t="n">
        <v>12500</v>
      </c>
      <c r="E9" s="23" t="n">
        <v>95</v>
      </c>
      <c r="F9" s="20">
        <f>IF(D9&gt;0, E9/D9, 0)</f>
        <v/>
      </c>
      <c r="G9" s="23" t="n">
        <v>45</v>
      </c>
      <c r="H9" s="20">
        <f>IF(D9&gt;0, (E9+G9)/D9, 0)</f>
        <v/>
      </c>
      <c r="I9" s="23" t="n">
        <v>175</v>
      </c>
      <c r="J9" s="20">
        <f>IF(D9&gt;0, I9/D9, 0)</f>
        <v/>
      </c>
      <c r="K9" s="23" t="n">
        <v>310</v>
      </c>
      <c r="L9" s="20">
        <f>IF(D9&gt;0, K9/D9, 0)</f>
        <v/>
      </c>
      <c r="M9" s="23" t="n">
        <v>520</v>
      </c>
      <c r="N9" s="23" t="n">
        <v>720</v>
      </c>
      <c r="O9" s="20">
        <f>IF(D9&gt;0, N9/D9, 0)</f>
        <v/>
      </c>
      <c r="P9" s="20" t="n">
        <v>0.06315789473684211</v>
      </c>
      <c r="Q9" s="20" t="n">
        <v>0.125</v>
      </c>
      <c r="R9" s="20" t="n">
        <v>0.12</v>
      </c>
      <c r="S9" s="24">
        <f>Q9-R9</f>
        <v/>
      </c>
      <c r="T9" s="20" t="n">
        <v>0.18</v>
      </c>
    </row>
    <row r="10" ht="24" customHeight="1">
      <c r="A10" s="53" t="inlineStr">
        <is>
          <t>MEDIANA</t>
        </is>
      </c>
      <c r="B10" s="54" t="inlineStr">
        <is>
          <t>MEDIANA DEL SECTOR (Benchmark G-Score &amp; Novy-Marx)</t>
        </is>
      </c>
      <c r="C10" s="55">
        <f>MEDIAN(C7:C9)</f>
        <v/>
      </c>
      <c r="D10" s="55">
        <f>MEDIAN(D7:D9)</f>
        <v/>
      </c>
      <c r="E10" s="55">
        <f>MEDIAN(E7:E9)</f>
        <v/>
      </c>
      <c r="F10" s="56">
        <f>MEDIAN(F7:F9)</f>
        <v/>
      </c>
      <c r="G10" s="55">
        <f>MEDIAN(G7:G9)</f>
        <v/>
      </c>
      <c r="H10" s="56">
        <f>MEDIAN(H7:H9)</f>
        <v/>
      </c>
      <c r="I10" s="55">
        <f>MEDIAN(I7:I9)</f>
        <v/>
      </c>
      <c r="J10" s="56">
        <f>MEDIAN(J7:J9)</f>
        <v/>
      </c>
      <c r="K10" s="55">
        <f>MEDIAN(K7:K9)</f>
        <v/>
      </c>
      <c r="L10" s="56">
        <f>MEDIAN(L7:L9)</f>
        <v/>
      </c>
      <c r="M10" s="55">
        <f>MEDIAN(M7:M9)</f>
        <v/>
      </c>
      <c r="N10" s="55">
        <f>MEDIAN(N7:N9)</f>
        <v/>
      </c>
      <c r="O10" s="56">
        <f>MEDIAN(O7:O9)</f>
        <v/>
      </c>
      <c r="P10" s="56">
        <f>MEDIAN(P7:P9)</f>
        <v/>
      </c>
      <c r="Q10" s="56">
        <f>MEDIAN(Q7:Q9)</f>
        <v/>
      </c>
      <c r="R10" s="56">
        <f>MEDIAN(R7:R9)</f>
        <v/>
      </c>
      <c r="S10" s="57">
        <f>MEDIAN(S7:S9)</f>
        <v/>
      </c>
      <c r="T10" s="56">
        <f>MEDIAN(T7:T9)</f>
        <v/>
      </c>
    </row>
    <row r="11" ht="22" customHeight="1">
      <c r="A11" s="39" t="inlineStr">
        <is>
          <t>PROMEDIO</t>
        </is>
      </c>
      <c r="B11" s="58" t="inlineStr">
        <is>
          <t>PROMEDIO DEL SECTOR (Media Aritmética)</t>
        </is>
      </c>
      <c r="C11" s="59">
        <f>AVERAGE(C7:C9)</f>
        <v/>
      </c>
      <c r="D11" s="59">
        <f>AVERAGE(D7:D9)</f>
        <v/>
      </c>
      <c r="E11" s="59">
        <f>AVERAGE(E7:E9)</f>
        <v/>
      </c>
      <c r="F11" s="43">
        <f>AVERAGE(F7:F9)</f>
        <v/>
      </c>
      <c r="G11" s="59">
        <f>AVERAGE(G7:G9)</f>
        <v/>
      </c>
      <c r="H11" s="43">
        <f>AVERAGE(H7:H9)</f>
        <v/>
      </c>
      <c r="I11" s="59">
        <f>AVERAGE(I7:I9)</f>
        <v/>
      </c>
      <c r="J11" s="43">
        <f>AVERAGE(J7:J9)</f>
        <v/>
      </c>
      <c r="K11" s="59">
        <f>AVERAGE(K7:K9)</f>
        <v/>
      </c>
      <c r="L11" s="43">
        <f>AVERAGE(L7:L9)</f>
        <v/>
      </c>
      <c r="M11" s="59">
        <f>AVERAGE(M7:M9)</f>
        <v/>
      </c>
      <c r="N11" s="59">
        <f>AVERAGE(N7:N9)</f>
        <v/>
      </c>
      <c r="O11" s="43">
        <f>AVERAGE(O7:O9)</f>
        <v/>
      </c>
      <c r="P11" s="43">
        <f>AVERAGE(P7:P9)</f>
        <v/>
      </c>
      <c r="Q11" s="43">
        <f>AVERAGE(Q7:Q9)</f>
        <v/>
      </c>
      <c r="R11" s="43">
        <f>AVERAGE(R7:R9)</f>
        <v/>
      </c>
      <c r="S11" s="41">
        <f>AVERAGE(S7:S9)</f>
        <v/>
      </c>
      <c r="T11" s="43">
        <f>AVERAGE(T7:T9)</f>
        <v/>
      </c>
    </row>
    <row r="12" ht="22" customHeight="1">
      <c r="A12" s="60" t="inlineStr">
        <is>
          <t>P75 LÍDER</t>
        </is>
      </c>
      <c r="B12" s="61" t="inlineStr">
        <is>
          <t>PERCENTIL 75 SUPERIOR (Cláusula Líder G4)</t>
        </is>
      </c>
      <c r="C12" s="62">
        <f>PERCENTILE(C7:C9, 0.75)</f>
        <v/>
      </c>
      <c r="D12" s="62">
        <f>PERCENTILE(D7:D9, 0.75)</f>
        <v/>
      </c>
      <c r="E12" s="62">
        <f>PERCENTILE(E7:E9, 0.75)</f>
        <v/>
      </c>
      <c r="F12" s="63">
        <f>PERCENTILE(F7:F9, 0.75)</f>
        <v/>
      </c>
      <c r="G12" s="62">
        <f>PERCENTILE(G7:G9, 0.75)</f>
        <v/>
      </c>
      <c r="H12" s="63">
        <f>PERCENTILE(H7:H9, 0.75)</f>
        <v/>
      </c>
      <c r="I12" s="62">
        <f>PERCENTILE(I7:I9, 0.75)</f>
        <v/>
      </c>
      <c r="J12" s="63">
        <f>PERCENTILE(J7:J9, 0.75)</f>
        <v/>
      </c>
      <c r="K12" s="62">
        <f>PERCENTILE(K7:K9, 0.75)</f>
        <v/>
      </c>
      <c r="L12" s="63">
        <f>PERCENTILE(L7:L9, 0.75)</f>
        <v/>
      </c>
      <c r="M12" s="62">
        <f>PERCENTILE(M7:M9, 0.75)</f>
        <v/>
      </c>
      <c r="N12" s="62">
        <f>PERCENTILE(N7:N9, 0.75)</f>
        <v/>
      </c>
      <c r="O12" s="63">
        <f>PERCENTILE(O7:O9, 0.75)</f>
        <v/>
      </c>
      <c r="P12" s="63">
        <f>PERCENTILE(P7:P9, 0.75)</f>
        <v/>
      </c>
      <c r="Q12" s="63">
        <f>PERCENTILE(Q7:Q9, 0.75)</f>
        <v/>
      </c>
      <c r="R12" s="63">
        <f>PERCENTILE(R7:R9, 0.75)</f>
        <v/>
      </c>
      <c r="S12" s="64">
        <f>PERCENTILE(S7:S9, 0.75)</f>
        <v/>
      </c>
      <c r="T12" s="63">
        <f>PERCENTILE(T7:T9, 0.75)</f>
        <v/>
      </c>
    </row>
    <row r="13" ht="18.5" customHeight="1">
      <c r="A13" s="21" t="inlineStr">
        <is>
          <t>MÁXIMO</t>
        </is>
      </c>
      <c r="B13" s="52" t="inlineStr">
        <is>
          <t>MÁXIMO DEL SECTOR</t>
        </is>
      </c>
      <c r="C13" s="23">
        <f>MAX(C7:C9)</f>
        <v/>
      </c>
      <c r="D13" s="23">
        <f>MAX(D7:D9)</f>
        <v/>
      </c>
      <c r="E13" s="23">
        <f>MAX(E7:E9)</f>
        <v/>
      </c>
      <c r="F13" s="20">
        <f>MAX(F7:F9)</f>
        <v/>
      </c>
      <c r="G13" s="23">
        <f>MAX(G7:G9)</f>
        <v/>
      </c>
      <c r="H13" s="20">
        <f>MAX(H7:H9)</f>
        <v/>
      </c>
      <c r="I13" s="23">
        <f>MAX(I7:I9)</f>
        <v/>
      </c>
      <c r="J13" s="20">
        <f>MAX(J7:J9)</f>
        <v/>
      </c>
      <c r="K13" s="23">
        <f>MAX(K7:K9)</f>
        <v/>
      </c>
      <c r="L13" s="20">
        <f>MAX(L7:L9)</f>
        <v/>
      </c>
      <c r="M13" s="23">
        <f>MAX(M7:M9)</f>
        <v/>
      </c>
      <c r="N13" s="23">
        <f>MAX(N7:N9)</f>
        <v/>
      </c>
      <c r="O13" s="20">
        <f>MAX(O7:O9)</f>
        <v/>
      </c>
      <c r="P13" s="20">
        <f>MAX(P7:P9)</f>
        <v/>
      </c>
      <c r="Q13" s="20">
        <f>MAX(Q7:Q9)</f>
        <v/>
      </c>
      <c r="R13" s="20">
        <f>MAX(R7:R9)</f>
        <v/>
      </c>
      <c r="S13" s="24">
        <f>MAX(S7:S9)</f>
        <v/>
      </c>
      <c r="T13" s="20">
        <f>MAX(T7:T9)</f>
        <v/>
      </c>
    </row>
    <row r="14" ht="18.5" customHeight="1">
      <c r="A14" s="21" t="inlineStr">
        <is>
          <t>MÍNIMO</t>
        </is>
      </c>
      <c r="B14" s="52" t="inlineStr">
        <is>
          <t>MÍNIMO DEL SECTOR</t>
        </is>
      </c>
      <c r="C14" s="23">
        <f>MIN(C7:C9)</f>
        <v/>
      </c>
      <c r="D14" s="23">
        <f>MIN(D7:D9)</f>
        <v/>
      </c>
      <c r="E14" s="23">
        <f>MIN(E7:E9)</f>
        <v/>
      </c>
      <c r="F14" s="20">
        <f>MIN(F7:F9)</f>
        <v/>
      </c>
      <c r="G14" s="23">
        <f>MIN(G7:G9)</f>
        <v/>
      </c>
      <c r="H14" s="20">
        <f>MIN(H7:H9)</f>
        <v/>
      </c>
      <c r="I14" s="23">
        <f>MIN(I7:I9)</f>
        <v/>
      </c>
      <c r="J14" s="20">
        <f>MIN(J7:J9)</f>
        <v/>
      </c>
      <c r="K14" s="23">
        <f>MIN(K7:K9)</f>
        <v/>
      </c>
      <c r="L14" s="20">
        <f>MIN(L7:L9)</f>
        <v/>
      </c>
      <c r="M14" s="23">
        <f>MIN(M7:M9)</f>
        <v/>
      </c>
      <c r="N14" s="23">
        <f>MIN(N7:N9)</f>
        <v/>
      </c>
      <c r="O14" s="20">
        <f>MIN(O7:O9)</f>
        <v/>
      </c>
      <c r="P14" s="20">
        <f>MIN(P7:P9)</f>
        <v/>
      </c>
      <c r="Q14" s="20">
        <f>MIN(Q7:Q9)</f>
        <v/>
      </c>
      <c r="R14" s="20">
        <f>MIN(R7:R9)</f>
        <v/>
      </c>
      <c r="S14" s="24">
        <f>MIN(S7:S9)</f>
        <v/>
      </c>
      <c r="T14" s="20">
        <f>MIN(T7:T9)</f>
        <v/>
      </c>
    </row>
    <row r="15" ht="22" customHeight="1">
      <c r="A15" s="65" t="inlineStr">
        <is>
          <t>RANKING</t>
        </is>
      </c>
      <c r="B15" s="66" t="inlineStr">
        <is>
          <t>POSICIÓN / RANKING DE NU (# de 3)</t>
        </is>
      </c>
      <c r="C15" s="67">
        <f>RANK(C7, C7:C9)</f>
        <v/>
      </c>
      <c r="D15" s="67">
        <f>RANK(D7, D7:D9)</f>
        <v/>
      </c>
      <c r="E15" s="67">
        <f>RANK(E7, E7:E9)</f>
        <v/>
      </c>
      <c r="F15" s="67">
        <f>RANK(F7, F7:F9)</f>
        <v/>
      </c>
      <c r="G15" s="67">
        <f>RANK(G7, G7:G9)</f>
        <v/>
      </c>
      <c r="H15" s="67">
        <f>RANK(H7, H7:H9)</f>
        <v/>
      </c>
      <c r="I15" s="67">
        <f>RANK(I7, I7:I9)</f>
        <v/>
      </c>
      <c r="J15" s="67">
        <f>RANK(J7, J7:J9)</f>
        <v/>
      </c>
      <c r="K15" s="67">
        <f>RANK(K7, K7:K9)</f>
        <v/>
      </c>
      <c r="L15" s="67">
        <f>RANK(L7, L7:L9)</f>
        <v/>
      </c>
      <c r="M15" s="67">
        <f>RANK(M7, M7:M9)</f>
        <v/>
      </c>
      <c r="N15" s="67">
        <f>RANK(N7, N7:N9)</f>
        <v/>
      </c>
      <c r="O15" s="67">
        <f>RANK(O7, O7:O9)</f>
        <v/>
      </c>
      <c r="P15" s="67">
        <f>RANK(P7, P7:P9)</f>
        <v/>
      </c>
      <c r="Q15" s="67">
        <f>RANK(Q7, Q7:Q9)</f>
        <v/>
      </c>
      <c r="R15" s="67">
        <f>RANK(R7, R7:R9, 1)</f>
        <v/>
      </c>
      <c r="S15" s="67">
        <f>RANK(S7, S7:S9)</f>
        <v/>
      </c>
      <c r="T15" s="67">
        <f>RANK(T7, T7:T9)</f>
        <v/>
      </c>
    </row>
    <row r="16" ht="10" customHeight="1"/>
    <row r="17" ht="10" customHeight="1"/>
    <row r="18" ht="22" customHeight="1">
      <c r="A18" s="18" t="inlineStr">
        <is>
          <t>CONEXIÓN AUDITABLE CON EL MOHANRAM G-SCORE</t>
        </is>
      </c>
      <c r="B18" s="19" t="n"/>
      <c r="C18" s="19" t="n"/>
      <c r="D18" s="19" t="n"/>
      <c r="E18" s="19" t="n"/>
      <c r="F18" s="19" t="n"/>
      <c r="G18" s="19" t="n"/>
      <c r="H18" s="19" t="n"/>
    </row>
    <row r="19" ht="40" customHeight="1">
      <c r="A19" s="40" t="inlineStr">
        <is>
          <t xml:space="preserve">   • Criterio G1 (ROA vs Mediana)</t>
        </is>
      </c>
      <c r="B19" s="52" t="inlineStr">
        <is>
          <t>La Utilidad Neta sobre Activos de NU supera la Mediana del Sector (calculada en la fila superior) -&gt; [PASA: 1 PTO]</t>
        </is>
      </c>
      <c r="C19" s="29" t="n"/>
      <c r="D19" s="29" t="n"/>
      <c r="E19" s="29" t="n"/>
      <c r="F19" s="29" t="n"/>
      <c r="G19" s="29" t="n"/>
      <c r="H19" s="29" t="n"/>
    </row>
    <row r="20" ht="40" customHeight="1">
      <c r="A20" s="40" t="inlineStr">
        <is>
          <t xml:space="preserve">   • Criterio G2 (CFROA vs Mediana)</t>
        </is>
      </c>
      <c r="B20" s="52" t="inlineStr">
        <is>
          <t>El Flujo de Caja Operativo sobre Activos de NU supera la Mediana del Sector (calculada en la fila superior) -&gt; [PASA: 1 PTO]</t>
        </is>
      </c>
      <c r="C20" s="29" t="n"/>
      <c r="D20" s="29" t="n"/>
      <c r="E20" s="29" t="n"/>
      <c r="F20" s="29" t="n"/>
      <c r="G20" s="29" t="n"/>
      <c r="H20" s="29" t="n"/>
    </row>
    <row r="21" ht="40" customHeight="1">
      <c r="A21" s="40" t="inlineStr">
        <is>
          <t xml:space="preserve">   • Criterio G4 (Estabilidad / P75)</t>
        </is>
      </c>
      <c r="B21" s="52" t="inlineStr">
        <is>
          <t>Si el ROA de NU supera el Percentil 75 Superior, aprueba de inmediato bajo la Cláusula Líder Institucional -&gt; [PASA: 1 PTO]</t>
        </is>
      </c>
      <c r="C21" s="29" t="n"/>
      <c r="D21" s="29" t="n"/>
      <c r="E21" s="29" t="n"/>
      <c r="F21" s="29" t="n"/>
      <c r="G21" s="29" t="n"/>
      <c r="H21" s="29" t="n"/>
    </row>
    <row r="22" ht="40" customHeight="1">
      <c r="A22" s="40" t="inlineStr">
        <is>
          <t xml:space="preserve">   • Criterio G6 (Intensidad en I+D)</t>
        </is>
      </c>
      <c r="B22" s="52" t="inlineStr">
        <is>
          <t>El gasto en I+D como porcentaje de los activos instalados supera a la Mediana de competidores del sector -&gt; [PASA: 1 PTO]</t>
        </is>
      </c>
      <c r="C22" s="29" t="n"/>
      <c r="D22" s="29" t="n"/>
      <c r="E22" s="29" t="n"/>
      <c r="F22" s="29" t="n"/>
      <c r="G22" s="29" t="n"/>
      <c r="H22" s="29" t="n"/>
    </row>
    <row r="23" ht="40" customHeight="1">
      <c r="A23" s="40" t="inlineStr">
        <is>
          <t xml:space="preserve">   • Criterio G7 (Reinversión Total)</t>
        </is>
      </c>
      <c r="B23" s="52" t="inlineStr">
        <is>
          <t>La Tasa de Inversión Total (CapEx + I+D) sobre Activos para modelos Asset-Light supera el umbral sectorial -&gt; [PASA: 1 PTO]</t>
        </is>
      </c>
      <c r="C23" s="29" t="n"/>
      <c r="D23" s="29" t="n"/>
      <c r="E23" s="29" t="n"/>
      <c r="F23" s="29" t="n"/>
      <c r="G23" s="29" t="n"/>
      <c r="H23" s="29" t="n"/>
    </row>
  </sheetData>
  <mergeCells count="5">
    <mergeCell ref="B22:H22"/>
    <mergeCell ref="B21:H21"/>
    <mergeCell ref="B19:H19"/>
    <mergeCell ref="B20:H20"/>
    <mergeCell ref="B23:H2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5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s>
  <sheetData>
    <row r="1" ht="30" customHeight="1">
      <c r="A1" s="1" t="inlineStr">
        <is>
          <t>Nu Holdings Ltd. (NU) - Auditoría Forense Contable &amp; Calidad de Beneficios</t>
        </is>
      </c>
    </row>
    <row r="2" ht="18" customHeight="1">
      <c r="A2" s="2" t="inlineStr">
        <is>
          <t>Detección de Manipulación Contable: Ratio de Devengos Sloan, Divergencias de Alerta Temprana y Montier C-Score (0-6)</t>
        </is>
      </c>
    </row>
    <row r="3" ht="8" customHeight="1"/>
    <row r="4" ht="22" customHeight="1">
      <c r="A4" s="18" t="inlineStr">
        <is>
          <t>DICTAMEN FORENSE GENERAL</t>
        </is>
      </c>
      <c r="B4" s="27" t="inlineStr">
        <is>
          <t>Período: FY2024</t>
        </is>
      </c>
      <c r="C4" s="27" t="inlineStr">
        <is>
          <t>Sloan: -0.91% [SALUDABLE]</t>
        </is>
      </c>
      <c r="D4" s="27" t="inlineStr">
        <is>
          <t>Montier C-Score: 0/6 [CONTABILIDAD CONSERVADORA]</t>
        </is>
      </c>
      <c r="E4" s="27" t="inlineStr">
        <is>
          <t>Estado Global: ESTÁNDAR SALUDABLE</t>
        </is>
      </c>
      <c r="F4" s="19" t="n"/>
      <c r="G4" s="19" t="n"/>
      <c r="H4" s="19" t="n"/>
    </row>
    <row r="5" ht="56" customHeight="1">
      <c r="A5" s="30" t="inlineStr">
        <is>
          <t>VEREDICTO FORENSE:</t>
        </is>
      </c>
      <c r="B5" s="32" t="inlineStr">
        <is>
          <t>CONTABILIDAD SALUDABLE Y EQUILIBRADA: Devengos dentro de la banda histórica normal (Ratio Sloan: -0.91%) y Montier C-Score de 0/6. Los resultados financieros reflejan razonablemente la realidad económica de las operaciones.</t>
        </is>
      </c>
    </row>
    <row r="6" ht="10" customHeight="1"/>
    <row r="7" ht="22" customHeight="1">
      <c r="A7" s="18" t="inlineStr">
        <is>
          <t>TABLA 1: RATIO DE DEVENGOS DE SLOAN (SLOAN ACCRUAL ANOMALY - RICHARD SLOAN 1996)</t>
        </is>
      </c>
      <c r="B7" s="19" t="n"/>
      <c r="C7" s="19" t="n"/>
      <c r="D7" s="19" t="n"/>
      <c r="E7" s="19" t="n"/>
      <c r="F7" s="19" t="n"/>
      <c r="G7" s="19" t="n"/>
      <c r="H7" s="19" t="n"/>
    </row>
    <row r="8" ht="25" customHeight="1">
      <c r="A8" s="3" t="inlineStr">
        <is>
          <t>Componente Contable / Métrica Sloan</t>
        </is>
      </c>
      <c r="B8" s="4" t="inlineStr">
        <is>
          <t>Definición / Fórmula Contable</t>
        </is>
      </c>
      <c r="C8" s="4" t="inlineStr">
        <is>
          <t>Zona Óptima / Umbral</t>
        </is>
      </c>
      <c r="D8" s="4" t="inlineStr">
        <is>
          <t>FY2024</t>
        </is>
      </c>
      <c r="E8" s="4" t="inlineStr">
        <is>
          <t>FY2023</t>
        </is>
      </c>
      <c r="F8" s="4" t="inlineStr">
        <is>
          <t>FY2022</t>
        </is>
      </c>
      <c r="G8" s="4" t="inlineStr">
        <is>
          <t>FY2021</t>
        </is>
      </c>
      <c r="H8" s="4" t="inlineStr">
        <is>
          <t>FY2020</t>
        </is>
      </c>
    </row>
    <row r="9" ht="18.5" customHeight="1">
      <c r="A9" s="5" t="inlineStr">
        <is>
          <t>(+) Utilidad Neta ($M) [Income Statement]</t>
        </is>
      </c>
      <c r="B9" s="33" t="inlineStr">
        <is>
          <t>Beneficio Neto Auditado SEC</t>
        </is>
      </c>
      <c r="C9" s="68" t="inlineStr">
        <is>
          <t>Base Devengada</t>
        </is>
      </c>
      <c r="D9" s="69" t="n">
        <v>1972.112</v>
      </c>
      <c r="E9" s="69" t="n">
        <v>1030.53</v>
      </c>
      <c r="F9" s="69" t="n">
        <v>-364.578</v>
      </c>
      <c r="G9" s="69" t="n">
        <v>-164.993</v>
      </c>
      <c r="H9" s="69" t="n">
        <v>-171.491</v>
      </c>
    </row>
    <row r="10" ht="18.5" customHeight="1">
      <c r="A10" s="5" t="inlineStr">
        <is>
          <t>(-) Flujo de Caja Operativo CFO ($M) [Cash Flow]</t>
        </is>
      </c>
      <c r="B10" s="33" t="inlineStr">
        <is>
          <t>Efectivo Generado por Operaciones</t>
        </is>
      </c>
      <c r="C10" s="68" t="inlineStr">
        <is>
          <t>Base Efectivo</t>
        </is>
      </c>
      <c r="D10" s="69" t="n">
        <v>2399.044</v>
      </c>
      <c r="E10" s="69" t="n">
        <v>1266.189</v>
      </c>
      <c r="F10" s="69" t="n">
        <v>755.573</v>
      </c>
      <c r="G10" s="69" t="n">
        <v>-2924.318</v>
      </c>
      <c r="H10" s="69" t="n">
        <v>974.52</v>
      </c>
    </row>
    <row r="11" ht="18.5" customHeight="1">
      <c r="A11" s="40" t="inlineStr">
        <is>
          <t>(=) Devengos Contables Totales ($M)</t>
        </is>
      </c>
      <c r="B11" s="33" t="inlineStr">
        <is>
          <t>Utilidad Neta - Flujo de Caja Operativo (CFO)</t>
        </is>
      </c>
      <c r="C11" s="68" t="inlineStr">
        <is>
          <t>CFO &gt; NI (Deseable)</t>
        </is>
      </c>
      <c r="D11" s="70" t="n">
        <v>-426.932</v>
      </c>
      <c r="E11" s="70" t="n">
        <v>-235.659</v>
      </c>
      <c r="F11" s="70" t="n">
        <v>-1120.151</v>
      </c>
      <c r="G11" s="70" t="n">
        <v>2759.325</v>
      </c>
      <c r="H11" s="70" t="n">
        <v>-1146.011</v>
      </c>
    </row>
    <row r="12" ht="18.5" customHeight="1">
      <c r="A12" s="5" t="inlineStr">
        <is>
          <t>Activos Totales al Cierre ($M) [Balance Sheet]</t>
        </is>
      </c>
      <c r="B12" s="33" t="inlineStr">
        <is>
          <t>Activos Totales Reportados al Cierre</t>
        </is>
      </c>
      <c r="C12" s="68" t="inlineStr">
        <is>
          <t>Referencia Balance</t>
        </is>
      </c>
      <c r="D12" s="69" t="n">
        <v>49931.214</v>
      </c>
      <c r="E12" s="69" t="n">
        <v>43498.449</v>
      </c>
      <c r="F12" s="69" t="n">
        <v>29934.872</v>
      </c>
      <c r="G12" s="69" t="n">
        <v>19858.681</v>
      </c>
      <c r="H12" s="69" t="n">
        <v>10154.25</v>
      </c>
    </row>
    <row r="13" ht="18.5" customHeight="1">
      <c r="A13" s="5" t="inlineStr">
        <is>
          <t>Activos Totales Promedio ($M) [Denominador Sloan]</t>
        </is>
      </c>
      <c r="B13" s="33" t="inlineStr">
        <is>
          <t>(Activos_t + Activos_t-1) / 2</t>
        </is>
      </c>
      <c r="C13" s="68" t="inlineStr">
        <is>
          <t>Base de Activos</t>
        </is>
      </c>
      <c r="D13" s="69" t="n">
        <v>46714.8315</v>
      </c>
      <c r="E13" s="69" t="n">
        <v>36716.6605</v>
      </c>
      <c r="F13" s="69" t="n">
        <v>24896.7765</v>
      </c>
      <c r="G13" s="69" t="n">
        <v>15006.4655</v>
      </c>
      <c r="H13" s="69" t="n">
        <v>10154.25</v>
      </c>
    </row>
    <row r="14" ht="18.5" customHeight="1">
      <c r="A14" s="40" t="inlineStr">
        <is>
          <t>(=) Ratio de Devengos de Sloan (%)</t>
        </is>
      </c>
      <c r="B14" s="33" t="inlineStr">
        <is>
          <t>(Utilidad Neta - CFO) / Activos Promedio</t>
        </is>
      </c>
      <c r="C14" s="68" t="inlineStr">
        <is>
          <t>Óptimo: &lt; -3% | Alerta: &gt; +10%</t>
        </is>
      </c>
      <c r="D14" s="71" t="n">
        <v>-0.0091</v>
      </c>
      <c r="E14" s="71" t="n">
        <v>-0.0064</v>
      </c>
      <c r="F14" s="72" t="n">
        <v>-0.045</v>
      </c>
      <c r="G14" s="73" t="n">
        <v>0.1839</v>
      </c>
      <c r="H14" s="72" t="n">
        <v>-0.1129</v>
      </c>
    </row>
    <row r="15" ht="18.5" customHeight="1">
      <c r="A15" s="5" t="inlineStr">
        <is>
          <t>Calidad de Beneficios &amp; Conversión de Caja</t>
        </is>
      </c>
      <c r="B15" s="33" t="inlineStr">
        <is>
          <t>Dictamen de Fidelidad Contable</t>
        </is>
      </c>
      <c r="C15" s="68" t="inlineStr">
        <is>
          <t>Alta Conversión / Saludable</t>
        </is>
      </c>
      <c r="D15" s="21" t="inlineStr">
        <is>
          <t>DEVENGOS EQUILIBRADOS</t>
        </is>
      </c>
      <c r="E15" s="21" t="inlineStr">
        <is>
          <t>DEVENGOS EQUILIBRADOS</t>
        </is>
      </c>
      <c r="F15" s="74" t="inlineStr">
        <is>
          <t>ALTA CONVERSIÓN DE CAJA (CFO &gt; NI)</t>
        </is>
      </c>
      <c r="G15" s="75" t="inlineStr">
        <is>
          <t>PELIGRO DE MANIPULACIÓN</t>
        </is>
      </c>
      <c r="H15" s="74" t="inlineStr">
        <is>
          <t>ALTA CONVERSIÓN DE CAJA (CFO &gt; NI)</t>
        </is>
      </c>
    </row>
    <row r="16" ht="18.5" customHeight="1">
      <c r="A16" s="40" t="inlineStr">
        <is>
          <t>Dictamen Forense de Devengos (Status)</t>
        </is>
      </c>
      <c r="B16" s="33" t="inlineStr">
        <is>
          <t>Interpretación de Riesgo Contable</t>
        </is>
      </c>
      <c r="C16" s="68" t="inlineStr">
        <is>
          <t>Bajo Riesgo de Manipulación</t>
        </is>
      </c>
      <c r="D16" s="74" t="inlineStr">
        <is>
          <t>SALUDABLE</t>
        </is>
      </c>
      <c r="E16" s="74" t="inlineStr">
        <is>
          <t>SALUDABLE</t>
        </is>
      </c>
      <c r="F16" s="74" t="inlineStr">
        <is>
          <t>EXCELENTE</t>
        </is>
      </c>
      <c r="G16" s="75" t="inlineStr">
        <is>
          <t>ALERTA ROJA</t>
        </is>
      </c>
      <c r="H16" s="74" t="inlineStr">
        <is>
          <t>EXCELENTE</t>
        </is>
      </c>
    </row>
    <row r="17" ht="56" customHeight="1">
      <c r="A17" s="76" t="inlineStr">
        <is>
          <t>Diagnóstico Forense Sloan (FY2024): Los devengos contables operan en el rango óptimo y equilibrado (-3% a +7%). Existe sólida correspondencia entre ingresos contables y cobros de efectivo.</t>
        </is>
      </c>
      <c r="B17" s="29" t="n"/>
      <c r="C17" s="29" t="n"/>
      <c r="D17" s="29" t="n"/>
      <c r="E17" s="29" t="n"/>
      <c r="F17" s="29" t="n"/>
      <c r="G17" s="29" t="n"/>
      <c r="H17" s="29" t="n"/>
    </row>
    <row r="18" ht="10" customHeight="1"/>
    <row r="19" ht="22" customHeight="1">
      <c r="A19" s="18" t="inlineStr">
        <is>
          <t>TABLA 2: MATRIZ DE DIVERGENCIAS DE ALERTA TEMPRANA (EARLY WARNING DIVERGENCE SPREADS)</t>
        </is>
      </c>
      <c r="B19" s="19" t="n"/>
      <c r="C19" s="19" t="n"/>
      <c r="D19" s="19" t="n"/>
      <c r="E19" s="19" t="n"/>
      <c r="F19" s="19" t="n"/>
      <c r="G19" s="19" t="n"/>
      <c r="H19" s="19" t="n"/>
    </row>
    <row r="20" ht="25" customHeight="1">
      <c r="A20" s="3" t="inlineStr">
        <is>
          <t>Métrica de Divergencia Contable</t>
        </is>
      </c>
      <c r="B20" s="4" t="inlineStr">
        <is>
          <t>Riesgo de Trampa Detectado</t>
        </is>
      </c>
      <c r="C20" s="4" t="inlineStr">
        <is>
          <t>Umbral de Alerta</t>
        </is>
      </c>
      <c r="D20" s="4" t="inlineStr">
        <is>
          <t>FY2024</t>
        </is>
      </c>
      <c r="E20" s="4" t="inlineStr">
        <is>
          <t>FY2023</t>
        </is>
      </c>
      <c r="F20" s="4" t="inlineStr">
        <is>
          <t>FY2022</t>
        </is>
      </c>
      <c r="G20" s="4" t="inlineStr">
        <is>
          <t>FY2021</t>
        </is>
      </c>
      <c r="H20" s="4" t="inlineStr">
        <is>
          <t>FY2020</t>
        </is>
      </c>
    </row>
    <row r="21" ht="22" customHeight="1">
      <c r="A21" s="18" t="inlineStr">
        <is>
          <t>A. Divergencia Cuentas por Cobrar vs. Ventas (Alerta de Facturación Agresiva / Channel Stuffing)</t>
        </is>
      </c>
      <c r="B21" s="19" t="n"/>
      <c r="C21" s="19" t="n"/>
      <c r="D21" s="19" t="n"/>
      <c r="E21" s="19" t="n"/>
      <c r="F21" s="19" t="n"/>
      <c r="G21" s="19" t="n"/>
      <c r="H21" s="19" t="n"/>
    </row>
    <row r="22" ht="18.5" customHeight="1">
      <c r="A22" s="5" t="inlineStr">
        <is>
          <t>(+) Cuentas por Cobrar Netas ($M) [Accounts Receivable]</t>
        </is>
      </c>
      <c r="B22" s="33" t="inlineStr">
        <is>
          <t>Saldo de Clientes en Balance</t>
        </is>
      </c>
      <c r="C22" s="68" t="inlineStr">
        <is>
          <t>Auditoría Balance</t>
        </is>
      </c>
      <c r="D22" s="77" t="inlineStr">
        <is>
          <t>-</t>
        </is>
      </c>
      <c r="E22" s="77" t="inlineStr">
        <is>
          <t>-</t>
        </is>
      </c>
      <c r="F22" s="77" t="inlineStr">
        <is>
          <t>-</t>
        </is>
      </c>
      <c r="G22" s="77" t="inlineStr">
        <is>
          <t>-</t>
        </is>
      </c>
      <c r="H22" s="77" t="inlineStr">
        <is>
          <t>-</t>
        </is>
      </c>
    </row>
    <row r="23" ht="18.5" customHeight="1">
      <c r="A23" s="5" t="inlineStr">
        <is>
          <t>Crecimiento Interanual Cuentas por Cobrar (Δ AR %)</t>
        </is>
      </c>
      <c r="B23" s="33" t="inlineStr">
        <is>
          <t>(AR_t - AR_t-1) / AR_t-1</t>
        </is>
      </c>
      <c r="C23" s="68" t="inlineStr">
        <is>
          <t>Ritmo de Cartera</t>
        </is>
      </c>
      <c r="D23" s="77" t="inlineStr">
        <is>
          <t>-</t>
        </is>
      </c>
      <c r="E23" s="77" t="inlineStr">
        <is>
          <t>-</t>
        </is>
      </c>
      <c r="F23" s="77" t="inlineStr">
        <is>
          <t>-</t>
        </is>
      </c>
      <c r="G23" s="77" t="inlineStr">
        <is>
          <t>-</t>
        </is>
      </c>
      <c r="H23" s="77" t="inlineStr">
        <is>
          <t>-</t>
        </is>
      </c>
    </row>
    <row r="24" ht="18.5" customHeight="1">
      <c r="A24" s="5" t="inlineStr">
        <is>
          <t>(+) Ingresos por Ventas ($M) [Revenue]</t>
        </is>
      </c>
      <c r="B24" s="33" t="inlineStr">
        <is>
          <t>Ventas Netas Reportadas</t>
        </is>
      </c>
      <c r="C24" s="68" t="inlineStr">
        <is>
          <t>Auditoría Resultados</t>
        </is>
      </c>
      <c r="D24" s="69" t="n">
        <v>11517.075</v>
      </c>
      <c r="E24" s="69" t="n">
        <v>8028.976</v>
      </c>
      <c r="F24" s="69" t="n">
        <v>4792.231</v>
      </c>
      <c r="G24" s="69" t="n">
        <v>1698.023</v>
      </c>
      <c r="H24" s="69" t="n">
        <v>737.133</v>
      </c>
    </row>
    <row r="25" ht="18.5" customHeight="1">
      <c r="A25" s="5" t="inlineStr">
        <is>
          <t>Crecimiento Interanual Ventas (Δ Ventas %)</t>
        </is>
      </c>
      <c r="B25" s="33" t="inlineStr">
        <is>
          <t>(Ventas_t - Ventas_t-1) / Ventas_t-1</t>
        </is>
      </c>
      <c r="C25" s="68" t="inlineStr">
        <is>
          <t>Ritmo Comercial</t>
        </is>
      </c>
      <c r="D25" s="78" t="n">
        <v>0.434439</v>
      </c>
      <c r="E25" s="78" t="n">
        <v>0.675415</v>
      </c>
      <c r="F25" s="78" t="n">
        <v>1.822242</v>
      </c>
      <c r="G25" s="78" t="n">
        <v>1.30355</v>
      </c>
      <c r="H25" s="77" t="inlineStr">
        <is>
          <t>-</t>
        </is>
      </c>
    </row>
    <row r="26" ht="18.5" customHeight="1">
      <c r="A26" s="40" t="inlineStr">
        <is>
          <t>(=) Spread Divergencia AR - Ventas (%)</t>
        </is>
      </c>
      <c r="B26" s="33" t="inlineStr">
        <is>
          <t>Δ AR % - Δ Ventas %</t>
        </is>
      </c>
      <c r="C26" s="68" t="inlineStr">
        <is>
          <t>Alerta si &gt; +10.0%</t>
        </is>
      </c>
      <c r="D26" s="77" t="inlineStr">
        <is>
          <t>-</t>
        </is>
      </c>
      <c r="E26" s="77" t="inlineStr">
        <is>
          <t>-</t>
        </is>
      </c>
      <c r="F26" s="77" t="inlineStr">
        <is>
          <t>-</t>
        </is>
      </c>
      <c r="G26" s="77" t="inlineStr">
        <is>
          <t>-</t>
        </is>
      </c>
      <c r="H26" s="77" t="inlineStr">
        <is>
          <t>-</t>
        </is>
      </c>
    </row>
    <row r="27" ht="18.5" customHeight="1">
      <c r="A27" s="5" t="inlineStr">
        <is>
          <t>Días de Cobro Pendientes (DSO - Días)</t>
        </is>
      </c>
      <c r="B27" s="33" t="inlineStr">
        <is>
          <t>(AR / Ventas) * 365</t>
        </is>
      </c>
      <c r="C27" s="68" t="inlineStr">
        <is>
          <t>Rotación de Cobros</t>
        </is>
      </c>
      <c r="D27" s="77" t="inlineStr">
        <is>
          <t>-</t>
        </is>
      </c>
      <c r="E27" s="77" t="inlineStr">
        <is>
          <t>-</t>
        </is>
      </c>
      <c r="F27" s="77" t="inlineStr">
        <is>
          <t>-</t>
        </is>
      </c>
      <c r="G27" s="77" t="inlineStr">
        <is>
          <t>-</t>
        </is>
      </c>
      <c r="H27" s="77" t="inlineStr">
        <is>
          <t>-</t>
        </is>
      </c>
    </row>
    <row r="28" ht="18.5" customHeight="1">
      <c r="A28" s="5" t="inlineStr">
        <is>
          <t>Variación en Días de Cobro (Δ DSO)</t>
        </is>
      </c>
      <c r="B28" s="33" t="inlineStr">
        <is>
          <t>DSO_t - DSO_t-1</t>
        </is>
      </c>
      <c r="C28" s="68" t="inlineStr">
        <is>
          <t>Alerta si &gt; +5.0d</t>
        </is>
      </c>
      <c r="D28" s="77" t="inlineStr">
        <is>
          <t>-</t>
        </is>
      </c>
      <c r="E28" s="77" t="inlineStr">
        <is>
          <t>-</t>
        </is>
      </c>
      <c r="F28" s="77" t="inlineStr">
        <is>
          <t>-</t>
        </is>
      </c>
      <c r="G28" s="77" t="inlineStr">
        <is>
          <t>-</t>
        </is>
      </c>
      <c r="H28" s="77" t="inlineStr">
        <is>
          <t>-</t>
        </is>
      </c>
    </row>
    <row r="29" ht="18.5" customHeight="1">
      <c r="A29" s="40" t="inlineStr">
        <is>
          <t>Dictamen de Cobranza &amp; Riesgo Comercial</t>
        </is>
      </c>
      <c r="B29" s="33" t="inlineStr">
        <is>
          <t>Diagnóstico de Agresividad</t>
        </is>
      </c>
      <c r="C29" s="68" t="inlineStr">
        <is>
          <t>Sin Señales / Alerta</t>
        </is>
      </c>
      <c r="D29" s="74" t="inlineStr">
        <is>
          <t>COBRANZA SANA</t>
        </is>
      </c>
      <c r="E29" s="74" t="inlineStr">
        <is>
          <t>COBRANZA SANA</t>
        </is>
      </c>
      <c r="F29" s="74" t="inlineStr">
        <is>
          <t>COBRANZA SANA</t>
        </is>
      </c>
      <c r="G29" s="74" t="inlineStr">
        <is>
          <t>COBRANZA SANA</t>
        </is>
      </c>
      <c r="H29" s="74" t="inlineStr">
        <is>
          <t>COBRANZA SANA</t>
        </is>
      </c>
    </row>
    <row r="30" ht="10" customHeight="1"/>
    <row r="31" ht="22" customHeight="1">
      <c r="A31" s="18" t="inlineStr">
        <is>
          <t>B. Divergencia Inventarios vs. Coste de Ventas (Alerta de Existencias No Vendidas / Absorción de Costes)</t>
        </is>
      </c>
      <c r="B31" s="19" t="n"/>
      <c r="C31" s="19" t="n"/>
      <c r="D31" s="19" t="n"/>
      <c r="E31" s="19" t="n"/>
      <c r="F31" s="19" t="n"/>
      <c r="G31" s="19" t="n"/>
      <c r="H31" s="19" t="n"/>
    </row>
    <row r="32" ht="18.5" customHeight="1">
      <c r="A32" s="5" t="inlineStr">
        <is>
          <t>(+) Inventarios Netos ($M) [Inventory]</t>
        </is>
      </c>
      <c r="B32" s="33" t="inlineStr">
        <is>
          <t>Existencias Totales en Balance</t>
        </is>
      </c>
      <c r="C32" s="68" t="inlineStr">
        <is>
          <t>Auditoría Balance</t>
        </is>
      </c>
      <c r="D32" s="77" t="inlineStr">
        <is>
          <t>-</t>
        </is>
      </c>
      <c r="E32" s="77" t="inlineStr">
        <is>
          <t>-</t>
        </is>
      </c>
      <c r="F32" s="77" t="inlineStr">
        <is>
          <t>-</t>
        </is>
      </c>
      <c r="G32" s="77" t="inlineStr">
        <is>
          <t>-</t>
        </is>
      </c>
      <c r="H32" s="77" t="inlineStr">
        <is>
          <t>-</t>
        </is>
      </c>
    </row>
    <row r="33" ht="18.5" customHeight="1">
      <c r="A33" s="5" t="inlineStr">
        <is>
          <t>Crecimiento Interanual Inventarios (Δ Inv %)</t>
        </is>
      </c>
      <c r="B33" s="33" t="inlineStr">
        <is>
          <t>(Inv_t - Inv_t-1) / Inv_t-1</t>
        </is>
      </c>
      <c r="C33" s="68" t="inlineStr">
        <is>
          <t>Ritmo de Stock</t>
        </is>
      </c>
      <c r="D33" s="77" t="inlineStr">
        <is>
          <t>-</t>
        </is>
      </c>
      <c r="E33" s="77" t="inlineStr">
        <is>
          <t>-</t>
        </is>
      </c>
      <c r="F33" s="77" t="inlineStr">
        <is>
          <t>-</t>
        </is>
      </c>
      <c r="G33" s="77" t="inlineStr">
        <is>
          <t>-</t>
        </is>
      </c>
      <c r="H33" s="77" t="inlineStr">
        <is>
          <t>-</t>
        </is>
      </c>
    </row>
    <row r="34" ht="18.5" customHeight="1">
      <c r="A34" s="5" t="inlineStr">
        <is>
          <t>(+) Coste de Bienes Vendidos COGS ($M)</t>
        </is>
      </c>
      <c r="B34" s="33" t="inlineStr">
        <is>
          <t>Coste de Ventas Reportado</t>
        </is>
      </c>
      <c r="C34" s="68" t="inlineStr">
        <is>
          <t>Auditoría Resultados</t>
        </is>
      </c>
      <c r="D34" s="69" t="n">
        <v>6264.166</v>
      </c>
      <c r="E34" s="69" t="n">
        <v>4538.073</v>
      </c>
      <c r="F34" s="69" t="n">
        <v>3129.241</v>
      </c>
      <c r="G34" s="69" t="n">
        <v>965.106</v>
      </c>
      <c r="H34" s="69" t="n">
        <v>410.224</v>
      </c>
    </row>
    <row r="35" ht="18.5" customHeight="1">
      <c r="A35" s="5" t="inlineStr">
        <is>
          <t>Crecimiento Interanual COGS (Δ COGS %)</t>
        </is>
      </c>
      <c r="B35" s="33" t="inlineStr">
        <is>
          <t>(COGS_t - COGS_t-1) / COGS_t-1</t>
        </is>
      </c>
      <c r="C35" s="68" t="inlineStr">
        <is>
          <t>Ritmo de Coste</t>
        </is>
      </c>
      <c r="D35" s="78" t="n">
        <v>0.380358</v>
      </c>
      <c r="E35" s="78" t="n">
        <v>0.450215</v>
      </c>
      <c r="F35" s="78" t="n">
        <v>2.242381</v>
      </c>
      <c r="G35" s="78" t="n">
        <v>1.352632</v>
      </c>
      <c r="H35" s="77" t="inlineStr">
        <is>
          <t>-</t>
        </is>
      </c>
    </row>
    <row r="36" ht="18.5" customHeight="1">
      <c r="A36" s="40" t="inlineStr">
        <is>
          <t>(=) Spread Divergencia Inventarios - COGS (%)</t>
        </is>
      </c>
      <c r="B36" s="33" t="inlineStr">
        <is>
          <t>Δ Inv % - Δ COGS %</t>
        </is>
      </c>
      <c r="C36" s="68" t="inlineStr">
        <is>
          <t>Alerta si &gt; +15.0%</t>
        </is>
      </c>
      <c r="D36" s="77" t="inlineStr">
        <is>
          <t>-</t>
        </is>
      </c>
      <c r="E36" s="77" t="inlineStr">
        <is>
          <t>-</t>
        </is>
      </c>
      <c r="F36" s="77" t="inlineStr">
        <is>
          <t>-</t>
        </is>
      </c>
      <c r="G36" s="77" t="inlineStr">
        <is>
          <t>-</t>
        </is>
      </c>
      <c r="H36" s="77" t="inlineStr">
        <is>
          <t>-</t>
        </is>
      </c>
    </row>
    <row r="37" ht="18.5" customHeight="1">
      <c r="A37" s="5" t="inlineStr">
        <is>
          <t>Días de Inventario en Balance (DIO - Días)</t>
        </is>
      </c>
      <c r="B37" s="33" t="inlineStr">
        <is>
          <t>(Inventario / COGS) * 365</t>
        </is>
      </c>
      <c r="C37" s="68" t="inlineStr">
        <is>
          <t>Rotación de Existencias</t>
        </is>
      </c>
      <c r="D37" s="77" t="inlineStr">
        <is>
          <t>-</t>
        </is>
      </c>
      <c r="E37" s="77" t="inlineStr">
        <is>
          <t>-</t>
        </is>
      </c>
      <c r="F37" s="77" t="inlineStr">
        <is>
          <t>-</t>
        </is>
      </c>
      <c r="G37" s="77" t="inlineStr">
        <is>
          <t>-</t>
        </is>
      </c>
      <c r="H37" s="77" t="inlineStr">
        <is>
          <t>-</t>
        </is>
      </c>
    </row>
    <row r="38" ht="18.5" customHeight="1">
      <c r="A38" s="5" t="inlineStr">
        <is>
          <t>Variación en Días de Inventario (Δ DIO)</t>
        </is>
      </c>
      <c r="B38" s="33" t="inlineStr">
        <is>
          <t>DIO_t - DIO_t-1</t>
        </is>
      </c>
      <c r="C38" s="68" t="inlineStr">
        <is>
          <t>Alerta si &gt; +7.0d</t>
        </is>
      </c>
      <c r="D38" s="77" t="inlineStr">
        <is>
          <t>-</t>
        </is>
      </c>
      <c r="E38" s="77" t="inlineStr">
        <is>
          <t>-</t>
        </is>
      </c>
      <c r="F38" s="77" t="inlineStr">
        <is>
          <t>-</t>
        </is>
      </c>
      <c r="G38" s="77" t="inlineStr">
        <is>
          <t>-</t>
        </is>
      </c>
      <c r="H38" s="77" t="inlineStr">
        <is>
          <t>-</t>
        </is>
      </c>
    </row>
    <row r="39" ht="18.5" customHeight="1">
      <c r="A39" s="40" t="inlineStr">
        <is>
          <t>Dictamen de Inventario &amp; Riesgo de Margen</t>
        </is>
      </c>
      <c r="B39" s="33" t="inlineStr">
        <is>
          <t>Diagnóstico de Stock / Absorción</t>
        </is>
      </c>
      <c r="C39" s="68" t="inlineStr">
        <is>
          <t>Controlado / Revisión</t>
        </is>
      </c>
      <c r="D39" s="74" t="inlineStr">
        <is>
          <t>INVENTARIO CONTROLADO</t>
        </is>
      </c>
      <c r="E39" s="74" t="inlineStr">
        <is>
          <t>INVENTARIO CONTROLADO</t>
        </is>
      </c>
      <c r="F39" s="74" t="inlineStr">
        <is>
          <t>INVENTARIO CONTROLADO</t>
        </is>
      </c>
      <c r="G39" s="74" t="inlineStr">
        <is>
          <t>INVENTARIO CONTROLADO</t>
        </is>
      </c>
      <c r="H39" s="74" t="inlineStr">
        <is>
          <t>INVENTARIO CONTROLADO</t>
        </is>
      </c>
    </row>
    <row r="40" ht="10" customHeight="1"/>
    <row r="41" ht="22" customHeight="1">
      <c r="A41" s="18" t="inlineStr">
        <is>
          <t>C. Índice de Activos Blandos (Soft Assets Ratio - Calidad Patrimonial y Capitalización de Costes)</t>
        </is>
      </c>
      <c r="B41" s="19" t="n"/>
      <c r="C41" s="19" t="n"/>
      <c r="D41" s="19" t="n"/>
      <c r="E41" s="19" t="n"/>
      <c r="F41" s="19" t="n"/>
      <c r="G41" s="19" t="n"/>
      <c r="H41" s="19" t="n"/>
    </row>
    <row r="42" ht="18.5" customHeight="1">
      <c r="A42" s="5" t="inlineStr">
        <is>
          <t>(+) Activos Totales en Balance ($M)</t>
        </is>
      </c>
      <c r="B42" s="33" t="inlineStr">
        <is>
          <t>Total Assets</t>
        </is>
      </c>
      <c r="C42" s="68" t="inlineStr">
        <is>
          <t>Auditoría Balance</t>
        </is>
      </c>
      <c r="D42" s="69" t="n">
        <v>49931.214</v>
      </c>
      <c r="E42" s="69" t="n">
        <v>43498.449</v>
      </c>
      <c r="F42" s="69" t="n">
        <v>29934.872</v>
      </c>
      <c r="G42" s="69" t="n">
        <v>19858.681</v>
      </c>
      <c r="H42" s="69" t="n">
        <v>10154.25</v>
      </c>
    </row>
    <row r="43" ht="18.5" customHeight="1">
      <c r="A43" s="5" t="inlineStr">
        <is>
          <t>(-) PP&amp;E Tangible Neto ($M)</t>
        </is>
      </c>
      <c r="B43" s="33" t="inlineStr">
        <is>
          <t>Property, Plant &amp; Equipment Net</t>
        </is>
      </c>
      <c r="C43" s="68" t="inlineStr">
        <is>
          <t>Activo Físico Duro</t>
        </is>
      </c>
      <c r="D43" s="69" t="n">
        <v>25.879</v>
      </c>
      <c r="E43" s="69" t="n">
        <v>39.294</v>
      </c>
      <c r="F43" s="69" t="n">
        <v>27.482</v>
      </c>
      <c r="G43" s="69" t="n">
        <v>14.109</v>
      </c>
      <c r="H43" s="69" t="n">
        <v>9.85</v>
      </c>
    </row>
    <row r="44" ht="18.5" customHeight="1">
      <c r="A44" s="5" t="inlineStr">
        <is>
          <t>(-) Tesorería y Equivalentes ($M)</t>
        </is>
      </c>
      <c r="B44" s="33" t="inlineStr">
        <is>
          <t>Cash &amp; Cash Equivalents</t>
        </is>
      </c>
      <c r="C44" s="68" t="inlineStr">
        <is>
          <t>Liquidez Inmediata</t>
        </is>
      </c>
      <c r="D44" s="69" t="n">
        <v>9185.742</v>
      </c>
      <c r="E44" s="69" t="n">
        <v>5923.44</v>
      </c>
      <c r="F44" s="69" t="n">
        <v>4172.316</v>
      </c>
      <c r="G44" s="69" t="n">
        <v>2705.675</v>
      </c>
      <c r="H44" s="69" t="n">
        <v>2343.78</v>
      </c>
    </row>
    <row r="45" ht="18.5" customHeight="1">
      <c r="A45" s="40" t="inlineStr">
        <is>
          <t>(=) Activos Blandos / No Duros ($M)</t>
        </is>
      </c>
      <c r="B45" s="33" t="inlineStr">
        <is>
          <t>Total Assets - (PP&amp;E Neto + Caja)</t>
        </is>
      </c>
      <c r="C45" s="68" t="inlineStr">
        <is>
          <t>Intangibles y Diferidos</t>
        </is>
      </c>
      <c r="D45" s="69" t="n">
        <v>40719.593</v>
      </c>
      <c r="E45" s="69" t="n">
        <v>37535.715</v>
      </c>
      <c r="F45" s="69" t="n">
        <v>25735.074</v>
      </c>
      <c r="G45" s="69" t="n">
        <v>17138.897</v>
      </c>
      <c r="H45" s="69" t="n">
        <v>7800.62</v>
      </c>
    </row>
    <row r="46" ht="18.5" customHeight="1">
      <c r="A46" s="40" t="inlineStr">
        <is>
          <t>(=) Ratio de Activos Blandos (%)</t>
        </is>
      </c>
      <c r="B46" s="33" t="inlineStr">
        <is>
          <t>Activos Blandos / Activos Totales</t>
        </is>
      </c>
      <c r="C46" s="68" t="inlineStr">
        <is>
          <t>Normal: &lt; 70% | Alerta: &gt; 75%</t>
        </is>
      </c>
      <c r="D46" s="63" t="n">
        <v>0.815514</v>
      </c>
      <c r="E46" s="63" t="n">
        <v>0.862921</v>
      </c>
      <c r="F46" s="63" t="n">
        <v>0.859702</v>
      </c>
      <c r="G46" s="63" t="n">
        <v>0.863043</v>
      </c>
      <c r="H46" s="63" t="n">
        <v>0.768212</v>
      </c>
    </row>
    <row r="47" ht="18.5" customHeight="1">
      <c r="A47" s="5" t="inlineStr">
        <is>
          <t>Variación Interanual en Ratio (Δ p.p.)</t>
        </is>
      </c>
      <c r="B47" s="33" t="inlineStr">
        <is>
          <t>Ratio_t - Ratio_t-1</t>
        </is>
      </c>
      <c r="C47" s="68" t="inlineStr">
        <is>
          <t>Alerta si &gt; +3.0 p.p.</t>
        </is>
      </c>
      <c r="D47" s="78" t="n">
        <v>-0.047407</v>
      </c>
      <c r="E47" s="78" t="n">
        <v>0.003219</v>
      </c>
      <c r="F47" s="78" t="n">
        <v>-0.003341</v>
      </c>
      <c r="G47" s="64" t="n">
        <v>0.094831</v>
      </c>
      <c r="H47" s="77" t="inlineStr">
        <is>
          <t>-</t>
        </is>
      </c>
    </row>
    <row r="48" ht="18.5" customHeight="1">
      <c r="A48" s="40" t="inlineStr">
        <is>
          <t>Dictamen de Estructura Patrimonial</t>
        </is>
      </c>
      <c r="B48" s="33" t="inlineStr">
        <is>
          <t>Calidad de Respaldo Contable</t>
        </is>
      </c>
      <c r="C48" s="68" t="inlineStr">
        <is>
          <t>Estructura Sólida</t>
        </is>
      </c>
      <c r="D48" s="74" t="inlineStr">
        <is>
          <t>ESTRUCTURA NORMAL</t>
        </is>
      </c>
      <c r="E48" s="74" t="inlineStr">
        <is>
          <t>ESTRUCTURA NORMAL</t>
        </is>
      </c>
      <c r="F48" s="74" t="inlineStr">
        <is>
          <t>ESTRUCTURA NORMAL</t>
        </is>
      </c>
      <c r="G48" s="60" t="inlineStr">
        <is>
          <t>PESO ELEVADO</t>
        </is>
      </c>
      <c r="H48" s="74" t="inlineStr">
        <is>
          <t>ESTRUCTURA NORMAL</t>
        </is>
      </c>
    </row>
    <row r="49" ht="10" customHeight="1"/>
    <row r="50" ht="22" customHeight="1">
      <c r="A50" s="18" t="inlineStr">
        <is>
          <t>TABLA 3: DESGLOSE FORENSE MONTIER C-SCORE (JAMES MONTIER 2008 - 'COOKING THE BOOKS')</t>
        </is>
      </c>
      <c r="B50" s="19" t="n"/>
      <c r="C50" s="19" t="n"/>
      <c r="D50" s="19" t="n"/>
      <c r="E50" s="19" t="n"/>
      <c r="F50" s="19" t="n"/>
      <c r="G50" s="19" t="n"/>
      <c r="H50" s="19" t="n"/>
    </row>
    <row r="51" ht="25" customHeight="1">
      <c r="A51" s="3" t="inlineStr">
        <is>
          <t>Bandera Forense de Manipulación (C-Score)</t>
        </is>
      </c>
      <c r="B51" s="4" t="inlineStr">
        <is>
          <t>Condición Contable Evaluada</t>
        </is>
      </c>
      <c r="C51" s="4" t="inlineStr">
        <is>
          <t>Justificación Teórica de la Trampa</t>
        </is>
      </c>
      <c r="D51" s="4" t="inlineStr">
        <is>
          <t>FY2024</t>
        </is>
      </c>
      <c r="E51" s="4" t="inlineStr">
        <is>
          <t>FY2023</t>
        </is>
      </c>
      <c r="F51" s="4" t="inlineStr">
        <is>
          <t>FY2022</t>
        </is>
      </c>
      <c r="G51" s="4" t="inlineStr">
        <is>
          <t>FY2021</t>
        </is>
      </c>
      <c r="H51" s="4" t="inlineStr">
        <is>
          <t>FY2020</t>
        </is>
      </c>
    </row>
    <row r="52" ht="18.5" customHeight="1">
      <c r="A52" s="5" t="inlineStr">
        <is>
          <t>Bandera 1: Divergencia Beneficio vs. Caja</t>
        </is>
      </c>
      <c r="B52" s="33" t="inlineStr">
        <is>
          <t>Utilidad Neta &gt; Flujo de Caja Operativo (NI &gt; CFO)</t>
        </is>
      </c>
      <c r="C52" s="79" t="inlineStr">
        <is>
          <t>Beneficios no monetizados en caja</t>
        </is>
      </c>
      <c r="D52" s="74" t="inlineStr">
        <is>
          <t>✅ OK</t>
        </is>
      </c>
      <c r="E52" s="74" t="inlineStr">
        <is>
          <t>✅ OK</t>
        </is>
      </c>
      <c r="F52" s="74" t="inlineStr">
        <is>
          <t>✅ OK</t>
        </is>
      </c>
      <c r="G52" s="75" t="inlineStr">
        <is>
          <t>🚩 FLAG</t>
        </is>
      </c>
      <c r="H52" s="21" t="inlineStr">
        <is>
          <t>-</t>
        </is>
      </c>
    </row>
    <row r="53" ht="18.5" customHeight="1">
      <c r="A53" s="5" t="inlineStr">
        <is>
          <t>Bandera 2: Cuentas por Cobrar &gt; Ventas</t>
        </is>
      </c>
      <c r="B53" s="33" t="inlineStr">
        <is>
          <t>Δ Cuentas por Cobrar % &gt; Δ Ventas %</t>
        </is>
      </c>
      <c r="C53" s="79" t="inlineStr">
        <is>
          <t>Facturación acelerada / Channel Stuffing</t>
        </is>
      </c>
      <c r="D53" s="74" t="inlineStr">
        <is>
          <t>✅ OK</t>
        </is>
      </c>
      <c r="E53" s="74" t="inlineStr">
        <is>
          <t>✅ OK</t>
        </is>
      </c>
      <c r="F53" s="74" t="inlineStr">
        <is>
          <t>✅ OK</t>
        </is>
      </c>
      <c r="G53" s="74" t="inlineStr">
        <is>
          <t>✅ OK</t>
        </is>
      </c>
      <c r="H53" s="21" t="inlineStr">
        <is>
          <t>-</t>
        </is>
      </c>
    </row>
    <row r="54" ht="18.5" customHeight="1">
      <c r="A54" s="5" t="inlineStr">
        <is>
          <t>Bandera 3: Inventarios &gt; Coste de Ventas</t>
        </is>
      </c>
      <c r="B54" s="33" t="inlineStr">
        <is>
          <t>Δ Inventarios % &gt; Δ Coste de Ventas %</t>
        </is>
      </c>
      <c r="C54" s="79" t="inlineStr">
        <is>
          <t>Sobreproducción para absorber costes o stock obsoleto</t>
        </is>
      </c>
      <c r="D54" s="74" t="inlineStr">
        <is>
          <t>✅ OK</t>
        </is>
      </c>
      <c r="E54" s="74" t="inlineStr">
        <is>
          <t>✅ OK</t>
        </is>
      </c>
      <c r="F54" s="74" t="inlineStr">
        <is>
          <t>✅ OK</t>
        </is>
      </c>
      <c r="G54" s="74" t="inlineStr">
        <is>
          <t>✅ OK</t>
        </is>
      </c>
      <c r="H54" s="21" t="inlineStr">
        <is>
          <t>-</t>
        </is>
      </c>
    </row>
    <row r="55" ht="18.5" customHeight="1">
      <c r="A55" s="5" t="inlineStr">
        <is>
          <t>Bandera 4: Deterioro del Margen Bruto</t>
        </is>
      </c>
      <c r="B55" s="33" t="inlineStr">
        <is>
          <t>Margen Bruto_t &lt; Margen Bruto_t-1</t>
        </is>
      </c>
      <c r="C55" s="79" t="inlineStr">
        <is>
          <t>Presión en márgenes que incita al maquillaje</t>
        </is>
      </c>
      <c r="D55" s="74" t="inlineStr">
        <is>
          <t>✅ OK</t>
        </is>
      </c>
      <c r="E55" s="74" t="inlineStr">
        <is>
          <t>✅ OK</t>
        </is>
      </c>
      <c r="F55" s="75" t="inlineStr">
        <is>
          <t>🚩 FLAG</t>
        </is>
      </c>
      <c r="G55" s="75" t="inlineStr">
        <is>
          <t>🚩 FLAG</t>
        </is>
      </c>
      <c r="H55" s="21" t="inlineStr">
        <is>
          <t>-</t>
        </is>
      </c>
    </row>
    <row r="56" ht="18.5" customHeight="1">
      <c r="A56" s="5" t="inlineStr">
        <is>
          <t>Bandera 5: Incremento de Activos Blandos</t>
        </is>
      </c>
      <c r="B56" s="33" t="inlineStr">
        <is>
          <t>Ratio Activos Blandos_t &gt; Ratio_t-1</t>
        </is>
      </c>
      <c r="C56" s="79" t="inlineStr">
        <is>
          <t>Capitalización indebida de gastos diferidos</t>
        </is>
      </c>
      <c r="D56" s="74" t="inlineStr">
        <is>
          <t>✅ OK</t>
        </is>
      </c>
      <c r="E56" s="74" t="inlineStr">
        <is>
          <t>✅ OK</t>
        </is>
      </c>
      <c r="F56" s="74" t="inlineStr">
        <is>
          <t>✅ OK</t>
        </is>
      </c>
      <c r="G56" s="75" t="inlineStr">
        <is>
          <t>🚩 FLAG</t>
        </is>
      </c>
      <c r="H56" s="21" t="inlineStr">
        <is>
          <t>-</t>
        </is>
      </c>
    </row>
    <row r="57" ht="18.5" customHeight="1">
      <c r="A57" s="5" t="inlineStr">
        <is>
          <t>Bandera 6: Reducción de Tasa de Depreciación</t>
        </is>
      </c>
      <c r="B57" s="33" t="inlineStr">
        <is>
          <t>Tasa Depreciación_t &lt; Tasa Depreciación_t-1</t>
        </is>
      </c>
      <c r="C57" s="79" t="inlineStr">
        <is>
          <t>Estiramiento de vidas útiles para inflar utilidad</t>
        </is>
      </c>
      <c r="D57" s="74" t="inlineStr">
        <is>
          <t>✅ OK</t>
        </is>
      </c>
      <c r="E57" s="74" t="inlineStr">
        <is>
          <t>✅ OK</t>
        </is>
      </c>
      <c r="F57" s="74" t="inlineStr">
        <is>
          <t>✅ OK</t>
        </is>
      </c>
      <c r="G57" s="74" t="inlineStr">
        <is>
          <t>✅ OK</t>
        </is>
      </c>
      <c r="H57" s="21" t="inlineStr">
        <is>
          <t>-</t>
        </is>
      </c>
    </row>
    <row r="58" ht="22" customHeight="1">
      <c r="A58" s="80" t="inlineStr">
        <is>
          <t>(=) MONTIER C-SCORE TOTAL (0 a 6 Puntos)</t>
        </is>
      </c>
      <c r="B58" s="80" t="inlineStr">
        <is>
          <t>Suma de Banderas Activas (0 a 6)</t>
        </is>
      </c>
      <c r="C58" s="81" t="inlineStr">
        <is>
          <t>0-1: Bajo Riesgo | 2-3: Moderado | 4-6: Alto Riesgo</t>
        </is>
      </c>
      <c r="D58" s="82" t="inlineStr">
        <is>
          <t>0/6</t>
        </is>
      </c>
      <c r="E58" s="82" t="inlineStr">
        <is>
          <t>0/6</t>
        </is>
      </c>
      <c r="F58" s="82" t="inlineStr">
        <is>
          <t>1/6</t>
        </is>
      </c>
      <c r="G58" s="83" t="inlineStr">
        <is>
          <t>3/6</t>
        </is>
      </c>
      <c r="H58" s="81" t="inlineStr">
        <is>
          <t>-</t>
        </is>
      </c>
    </row>
    <row r="59" ht="22" customHeight="1">
      <c r="A59" s="40" t="inlineStr">
        <is>
          <t>Nivel de Riesgo &amp; Dictamen C-Score</t>
        </is>
      </c>
      <c r="B59" s="33" t="inlineStr">
        <is>
          <t>Clasificación Institucional de Riesgo Forense</t>
        </is>
      </c>
      <c r="C59" s="68" t="inlineStr">
        <is>
          <t>Probabilidad Empírica de Manipulación</t>
        </is>
      </c>
      <c r="D59" s="74" t="inlineStr">
        <is>
          <t>RIESGO MUY BAJO / LIBROS LIMPIOS</t>
        </is>
      </c>
      <c r="E59" s="74" t="inlineStr">
        <is>
          <t>RIESGO MUY BAJO / LIBROS LIMPIOS</t>
        </is>
      </c>
      <c r="F59" s="74" t="inlineStr">
        <is>
          <t>RIESGO MUY BAJO / LIBROS LIMPIOS</t>
        </is>
      </c>
      <c r="G59" s="60" t="inlineStr">
        <is>
          <t>RIESGO MODERADO / ALERTA PREVENTIVA</t>
        </is>
      </c>
      <c r="H59" s="68" t="inlineStr">
        <is>
          <t>DATOS INSUFICIENTES (SIN T-1)</t>
        </is>
      </c>
    </row>
  </sheetData>
  <mergeCells count="2">
    <mergeCell ref="B5:H5"/>
    <mergeCell ref="A17:H17"/>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57"/>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s>
  <sheetData>
    <row r="1" ht="30" customHeight="1">
      <c r="A1" s="1" t="inlineStr">
        <is>
          <t>Nu Holdings Ltd. (NU) - Solvencia, Deuda &amp; Estrés Financiero (Credit Risk Engine)</t>
        </is>
      </c>
    </row>
    <row r="2" ht="18" customHeight="1">
      <c r="A2" s="2" t="inlineStr">
        <is>
          <t>Análisis Institucional: Capacidad de Pago contra Flujos de Caja, Cobertura de Intereses, Liquidez y Quiebra (Altman Z'' &amp; Damodaran)</t>
        </is>
      </c>
    </row>
    <row r="3" ht="8" customHeight="1"/>
    <row r="4" ht="22" customHeight="1">
      <c r="A4" s="18" t="inlineStr">
        <is>
          <t>DICTAMEN GLOBAL DE SOLVENCIA</t>
        </is>
      </c>
      <c r="B4" s="27" t="inlineStr">
        <is>
          <t>Período: FY2024</t>
        </is>
      </c>
      <c r="C4" s="27" t="inlineStr">
        <is>
          <t>Rating Sintético: AAA [MÁXIMA CALIDAD CREDITICIA (LIBRE DE DEUDA)]</t>
        </is>
      </c>
      <c r="D4" s="27" t="inlineStr">
        <is>
          <t>Altman Z'': 0.19 [PELIGRO DE QUIEBRA]</t>
        </is>
      </c>
      <c r="E4" s="27" t="inlineStr">
        <is>
          <t>Estado: ALERTA DE INSOLVENCIA</t>
        </is>
      </c>
      <c r="F4" s="19" t="n"/>
      <c r="G4" s="19" t="n"/>
      <c r="H4" s="19" t="n"/>
    </row>
    <row r="5" ht="56" customHeight="1">
      <c r="A5" s="58" t="inlineStr">
        <is>
          <t>VEREDICTO SOLVENCIA:</t>
        </is>
      </c>
      <c r="B5" s="84" t="inlineStr">
        <is>
          <t>ALERTA CRÍTICA DE SOLVENCIA Y ESTRÉS FINANCIERO: Altman Z''-Score de 0.19 en Zona de Distress. Apalancamiento de CAJA NETA y cobertura de INFINITA (SIN DEUDA). Alto riesgo de incumplimiento de covenants y vulnerabilidad ante vencimientos de deuda.</t>
        </is>
      </c>
      <c r="C5" s="29" t="n"/>
      <c r="D5" s="29" t="n"/>
      <c r="E5" s="29" t="n"/>
      <c r="F5" s="29" t="n"/>
      <c r="G5" s="29" t="n"/>
      <c r="H5" s="29" t="n"/>
    </row>
    <row r="6" ht="10" customHeight="1"/>
    <row r="7" ht="22" customHeight="1">
      <c r="A7" s="18" t="inlineStr">
        <is>
          <t>TABLA 1: APALANCAMIENTO Y CAPACIDAD DE AMORTIZACIÓN (CASH FLOW LEVERAGE)</t>
        </is>
      </c>
      <c r="B7" s="19" t="n"/>
      <c r="C7" s="19" t="n"/>
      <c r="D7" s="19" t="n"/>
      <c r="E7" s="19" t="n"/>
      <c r="F7" s="19" t="n"/>
      <c r="G7" s="19" t="n"/>
      <c r="H7" s="19" t="n"/>
    </row>
    <row r="8" ht="25" customHeight="1">
      <c r="A8" s="3" t="inlineStr">
        <is>
          <t>Componente / Métrica de Apalancamiento</t>
        </is>
      </c>
      <c r="B8" s="3" t="inlineStr">
        <is>
          <t>Definición / Fórmula Contable</t>
        </is>
      </c>
      <c r="C8" s="4" t="inlineStr">
        <is>
          <t>Zona Óptima / Umbral Crediticio</t>
        </is>
      </c>
      <c r="D8" s="4" t="inlineStr">
        <is>
          <t>FY2024</t>
        </is>
      </c>
      <c r="E8" s="4" t="inlineStr">
        <is>
          <t>FY2023</t>
        </is>
      </c>
      <c r="F8" s="4" t="inlineStr">
        <is>
          <t>FY2022</t>
        </is>
      </c>
      <c r="G8" s="4" t="inlineStr">
        <is>
          <t>FY2021</t>
        </is>
      </c>
      <c r="H8" s="4" t="inlineStr">
        <is>
          <t>FY2020</t>
        </is>
      </c>
    </row>
    <row r="9" ht="18.5" customHeight="1">
      <c r="A9" s="5" t="inlineStr">
        <is>
          <t>(+) Deuda Financiera Total ($M)</t>
        </is>
      </c>
      <c r="B9" s="33" t="inlineStr">
        <is>
          <t>Short-Term Debt + Long-Term Debt</t>
        </is>
      </c>
      <c r="C9" s="68" t="inlineStr">
        <is>
          <t>Referencia Balance</t>
        </is>
      </c>
      <c r="D9" s="23" t="n">
        <v>0</v>
      </c>
      <c r="E9" s="23" t="n">
        <v>0</v>
      </c>
      <c r="F9" s="23" t="n">
        <v>0</v>
      </c>
      <c r="G9" s="23" t="n">
        <v>0</v>
      </c>
      <c r="H9" s="23" t="n">
        <v>0</v>
      </c>
    </row>
    <row r="10" ht="18.5" customHeight="1">
      <c r="A10" s="5" t="inlineStr">
        <is>
          <t>(-) Tesorería y Equivalentes ($M)</t>
        </is>
      </c>
      <c r="B10" s="33" t="inlineStr">
        <is>
          <t>Cash &amp; Cash Equivalents</t>
        </is>
      </c>
      <c r="C10" s="68" t="inlineStr">
        <is>
          <t>Liquidez Inmediata</t>
        </is>
      </c>
      <c r="D10" s="23" t="n">
        <v>9185.700000000001</v>
      </c>
      <c r="E10" s="23" t="n">
        <v>5923.4</v>
      </c>
      <c r="F10" s="23" t="n">
        <v>4172.3</v>
      </c>
      <c r="G10" s="23" t="n">
        <v>2705.7</v>
      </c>
      <c r="H10" s="23" t="n">
        <v>2343.8</v>
      </c>
    </row>
    <row r="11" ht="18.5" customHeight="1">
      <c r="A11" s="13" t="inlineStr">
        <is>
          <t>(=) Deuda Financiera Neta ($M)</t>
        </is>
      </c>
      <c r="B11" s="85" t="inlineStr">
        <is>
          <t>Deuda Total - Tesorería</t>
        </is>
      </c>
      <c r="C11" s="86" t="inlineStr">
        <is>
          <t>Caja Neta &lt; $0 (Deseable)</t>
        </is>
      </c>
      <c r="D11" s="87" t="n">
        <v>-9185.700000000001</v>
      </c>
      <c r="E11" s="87" t="n">
        <v>-5923.4</v>
      </c>
      <c r="F11" s="87" t="n">
        <v>-4172.3</v>
      </c>
      <c r="G11" s="87" t="n">
        <v>-2705.7</v>
      </c>
      <c r="H11" s="87" t="n">
        <v>-2343.8</v>
      </c>
    </row>
    <row r="12" ht="18.5" customHeight="1">
      <c r="A12" s="5" t="inlineStr">
        <is>
          <t>(+) Beneficio Operativo EBIT ($M)</t>
        </is>
      </c>
      <c r="B12" s="33" t="inlineStr">
        <is>
          <t>Operating Income Reportado</t>
        </is>
      </c>
      <c r="C12" s="68" t="inlineStr">
        <is>
          <t>Capacidad Operativa</t>
        </is>
      </c>
      <c r="D12" s="21" t="inlineStr">
        <is>
          <t>-</t>
        </is>
      </c>
      <c r="E12" s="21" t="inlineStr">
        <is>
          <t>-</t>
        </is>
      </c>
      <c r="F12" s="21" t="inlineStr">
        <is>
          <t>-</t>
        </is>
      </c>
      <c r="G12" s="21" t="inlineStr">
        <is>
          <t>-</t>
        </is>
      </c>
      <c r="H12" s="21" t="inlineStr">
        <is>
          <t>-</t>
        </is>
      </c>
    </row>
    <row r="13" ht="18.5" customHeight="1">
      <c r="A13" s="5" t="inlineStr">
        <is>
          <t>(+) Depreciación y Amortización ($M)</t>
        </is>
      </c>
      <c r="B13" s="33" t="inlineStr">
        <is>
          <t>D&amp;A en Estado de Flujos</t>
        </is>
      </c>
      <c r="C13" s="68" t="inlineStr">
        <is>
          <t>Gasto No Monetario</t>
        </is>
      </c>
      <c r="D13" s="23" t="n">
        <v>0</v>
      </c>
      <c r="E13" s="23" t="n">
        <v>0</v>
      </c>
      <c r="F13" s="23" t="n">
        <v>0</v>
      </c>
      <c r="G13" s="23" t="n">
        <v>0</v>
      </c>
      <c r="H13" s="23" t="n">
        <v>0</v>
      </c>
    </row>
    <row r="14" ht="18.5" customHeight="1">
      <c r="A14" s="13" t="inlineStr">
        <is>
          <t>(=) EBITDA ($M) [Generación Bruta]</t>
        </is>
      </c>
      <c r="B14" s="85" t="inlineStr">
        <is>
          <t>EBIT + Depreciación y Amortización</t>
        </is>
      </c>
      <c r="C14" s="86" t="inlineStr">
        <is>
          <t>Base Operativa Bruta</t>
        </is>
      </c>
      <c r="D14" s="88" t="inlineStr">
        <is>
          <t>-</t>
        </is>
      </c>
      <c r="E14" s="88" t="inlineStr">
        <is>
          <t>-</t>
        </is>
      </c>
      <c r="F14" s="88" t="inlineStr">
        <is>
          <t>-</t>
        </is>
      </c>
      <c r="G14" s="88" t="inlineStr">
        <is>
          <t>-</t>
        </is>
      </c>
      <c r="H14" s="88" t="inlineStr">
        <is>
          <t>-</t>
        </is>
      </c>
    </row>
    <row r="15" ht="18.5" customHeight="1">
      <c r="A15" s="80" t="inlineStr">
        <is>
          <t>(=) Deuda Neta / EBITDA (Años de EBITDA)</t>
        </is>
      </c>
      <c r="B15" s="89" t="inlineStr">
        <is>
          <t>Deuda Neta / EBITDA</t>
        </is>
      </c>
      <c r="C15" s="90" t="inlineStr">
        <is>
          <t>Óptimo: &lt; 1.5x | Alerta: &gt; 3.5x</t>
        </is>
      </c>
      <c r="D15" s="82" t="inlineStr">
        <is>
          <t>CAJA NETA</t>
        </is>
      </c>
      <c r="E15" s="82" t="inlineStr">
        <is>
          <t>CAJA NETA</t>
        </is>
      </c>
      <c r="F15" s="82" t="inlineStr">
        <is>
          <t>CAJA NETA</t>
        </is>
      </c>
      <c r="G15" s="82" t="inlineStr">
        <is>
          <t>CAJA NETA</t>
        </is>
      </c>
      <c r="H15" s="82" t="inlineStr">
        <is>
          <t>CAJA NETA</t>
        </is>
      </c>
    </row>
    <row r="16" ht="18.5" customHeight="1">
      <c r="A16" s="5" t="inlineStr">
        <is>
          <t>(+) Flujo de Caja Libre FCF ($M)</t>
        </is>
      </c>
      <c r="B16" s="33" t="inlineStr">
        <is>
          <t>Flujo Operativo (CFO) - CapEx</t>
        </is>
      </c>
      <c r="C16" s="68" t="inlineStr">
        <is>
          <t>Caja de Libre Disposición</t>
        </is>
      </c>
      <c r="D16" s="23" t="n">
        <v>2229.5</v>
      </c>
      <c r="E16" s="23" t="n">
        <v>1109.4</v>
      </c>
      <c r="F16" s="23" t="n">
        <v>735.6</v>
      </c>
      <c r="G16" s="23" t="n">
        <v>-2930.3</v>
      </c>
      <c r="H16" s="23" t="n">
        <v>971.4</v>
      </c>
    </row>
    <row r="17" ht="18.5" customHeight="1">
      <c r="A17" s="80" t="inlineStr">
        <is>
          <t>(=) Deuda Neta / FCF (Años de Caja Libre)</t>
        </is>
      </c>
      <c r="B17" s="89" t="inlineStr">
        <is>
          <t>Deuda Neta / FCF</t>
        </is>
      </c>
      <c r="C17" s="90" t="inlineStr">
        <is>
          <t>Óptimo: &lt; 2.0x | Alerta: &gt; 4.0x</t>
        </is>
      </c>
      <c r="D17" s="82" t="inlineStr">
        <is>
          <t>CAJA NETA</t>
        </is>
      </c>
      <c r="E17" s="82" t="inlineStr">
        <is>
          <t>CAJA NETA</t>
        </is>
      </c>
      <c r="F17" s="82" t="inlineStr">
        <is>
          <t>CAJA NETA</t>
        </is>
      </c>
      <c r="G17" s="82" t="inlineStr">
        <is>
          <t>CAJA NETA</t>
        </is>
      </c>
      <c r="H17" s="82" t="inlineStr">
        <is>
          <t>CAJA NETA</t>
        </is>
      </c>
    </row>
    <row r="18" ht="18.5" customHeight="1">
      <c r="A18" s="5" t="inlineStr">
        <is>
          <t>Deuda Total / Flujo de Caja Operativo (x)</t>
        </is>
      </c>
      <c r="B18" s="33" t="inlineStr">
        <is>
          <t>Deuda Total / CFO</t>
        </is>
      </c>
      <c r="C18" s="68" t="inlineStr">
        <is>
          <t>Óptimo: &lt; 2.0x | Alerta: &gt; 4.0x</t>
        </is>
      </c>
      <c r="D18" s="22" t="n">
        <v>0</v>
      </c>
      <c r="E18" s="22" t="n">
        <v>0</v>
      </c>
      <c r="F18" s="22" t="n">
        <v>0</v>
      </c>
      <c r="G18" s="21" t="inlineStr">
        <is>
          <t>-</t>
        </is>
      </c>
      <c r="H18" s="22" t="n">
        <v>0</v>
      </c>
    </row>
    <row r="19" ht="22" customHeight="1">
      <c r="A19" s="40" t="inlineStr">
        <is>
          <t>Diagnóstico de Capacidad de Repago</t>
        </is>
      </c>
      <c r="B19" s="33" t="inlineStr">
        <is>
          <t>Evaluación de Amortización contra Caja</t>
        </is>
      </c>
      <c r="C19" s="68" t="inlineStr">
        <is>
          <t>Sostenibilidad de Deuda</t>
        </is>
      </c>
      <c r="D19" s="74" t="inlineStr">
        <is>
          <t>CAJA NETA</t>
        </is>
      </c>
      <c r="E19" s="74" t="inlineStr">
        <is>
          <t>CAJA NETA</t>
        </is>
      </c>
      <c r="F19" s="74" t="inlineStr">
        <is>
          <t>CAJA NETA</t>
        </is>
      </c>
      <c r="G19" s="74" t="inlineStr">
        <is>
          <t>CAJA NETA</t>
        </is>
      </c>
      <c r="H19" s="74" t="inlineStr">
        <is>
          <t>CAJA NETA</t>
        </is>
      </c>
    </row>
    <row r="20" ht="56" customHeight="1">
      <c r="A20" s="76" t="inlineStr">
        <is>
          <t>Diagnóstico de Apalancamiento (FY2024): Estructura ultra sólida sin deuda neta (-9,185.7$M). La liquidez disponible excede a la deuda total.</t>
        </is>
      </c>
      <c r="B20" s="29" t="n"/>
      <c r="C20" s="29" t="n"/>
      <c r="D20" s="29" t="n"/>
      <c r="E20" s="29" t="n"/>
      <c r="F20" s="29" t="n"/>
      <c r="G20" s="29" t="n"/>
      <c r="H20" s="29" t="n"/>
    </row>
    <row r="21" ht="10" customHeight="1"/>
    <row r="22" ht="22" customHeight="1">
      <c r="A22" s="18" t="inlineStr">
        <is>
          <t>TABLA 2: COBERTURA DE CARGA FINANCIERA Y SERVICIO DE LA DEUDA (INTEREST COVERAGE)</t>
        </is>
      </c>
      <c r="B22" s="19" t="n"/>
      <c r="C22" s="19" t="n"/>
      <c r="D22" s="19" t="n"/>
      <c r="E22" s="19" t="n"/>
      <c r="F22" s="19" t="n"/>
      <c r="G22" s="19" t="n"/>
      <c r="H22" s="19" t="n"/>
    </row>
    <row r="23" ht="25" customHeight="1">
      <c r="A23" s="3" t="inlineStr">
        <is>
          <t>Ratio de Cobertura / Carga Financiera</t>
        </is>
      </c>
      <c r="B23" s="3" t="inlineStr">
        <is>
          <t>Definición / Fórmula de Cobertura</t>
        </is>
      </c>
      <c r="C23" s="4" t="inlineStr">
        <is>
          <t>Umbral de Solvencia Operativa</t>
        </is>
      </c>
      <c r="D23" s="4" t="inlineStr">
        <is>
          <t>FY2024</t>
        </is>
      </c>
      <c r="E23" s="4" t="inlineStr">
        <is>
          <t>FY2023</t>
        </is>
      </c>
      <c r="F23" s="4" t="inlineStr">
        <is>
          <t>FY2022</t>
        </is>
      </c>
      <c r="G23" s="4" t="inlineStr">
        <is>
          <t>FY2021</t>
        </is>
      </c>
      <c r="H23" s="4" t="inlineStr">
        <is>
          <t>FY2020</t>
        </is>
      </c>
    </row>
    <row r="24" ht="18.5" customHeight="1">
      <c r="A24" s="5" t="inlineStr">
        <is>
          <t>(+) Utilidad Operativa EBIT ($M) [Operating Income]</t>
        </is>
      </c>
      <c r="B24" s="33" t="inlineStr">
        <is>
          <t>Resultado de Explotación Reportado</t>
        </is>
      </c>
      <c r="C24" s="68" t="inlineStr">
        <is>
          <t>Capacidad Operativa</t>
        </is>
      </c>
      <c r="D24" s="77" t="inlineStr">
        <is>
          <t>-</t>
        </is>
      </c>
      <c r="E24" s="77" t="inlineStr">
        <is>
          <t>-</t>
        </is>
      </c>
      <c r="F24" s="77" t="inlineStr">
        <is>
          <t>-</t>
        </is>
      </c>
      <c r="G24" s="77" t="inlineStr">
        <is>
          <t>-</t>
        </is>
      </c>
      <c r="H24" s="77" t="inlineStr">
        <is>
          <t>-</t>
        </is>
      </c>
    </row>
    <row r="25" ht="18.5" customHeight="1">
      <c r="A25" s="5" t="inlineStr">
        <is>
          <t>(-) Flujo de Caja Operativo CFO ($M) [Cash Flow]</t>
        </is>
      </c>
      <c r="B25" s="33" t="inlineStr">
        <is>
          <t>Generación de Caja Operativa Real</t>
        </is>
      </c>
      <c r="C25" s="68" t="inlineStr">
        <is>
          <t>Capacidad Líquida</t>
        </is>
      </c>
      <c r="D25" s="77" t="inlineStr">
        <is>
          <t>-</t>
        </is>
      </c>
      <c r="E25" s="77" t="inlineStr">
        <is>
          <t>-</t>
        </is>
      </c>
      <c r="F25" s="77" t="inlineStr">
        <is>
          <t>-</t>
        </is>
      </c>
      <c r="G25" s="77" t="inlineStr">
        <is>
          <t>-</t>
        </is>
      </c>
      <c r="H25" s="77" t="inlineStr">
        <is>
          <t>-</t>
        </is>
      </c>
    </row>
    <row r="26" ht="18.5" customHeight="1">
      <c r="A26" s="13" t="inlineStr">
        <is>
          <t>(=) Gasto por Intereses ($M) [Interest Expense]</t>
        </is>
      </c>
      <c r="B26" s="85" t="inlineStr">
        <is>
          <t>Coste de Financiación de Deuda</t>
        </is>
      </c>
      <c r="C26" s="86" t="inlineStr">
        <is>
          <t>Carga Financiera Bruta</t>
        </is>
      </c>
      <c r="D26" s="70" t="n">
        <v>2834.9</v>
      </c>
      <c r="E26" s="70" t="n">
        <v>2036.9</v>
      </c>
      <c r="F26" s="70" t="n">
        <v>1547.9</v>
      </c>
      <c r="G26" s="70" t="n">
        <v>-367.3</v>
      </c>
      <c r="H26" s="70" t="n">
        <v>-113.9</v>
      </c>
    </row>
    <row r="27" ht="18.5" customHeight="1">
      <c r="A27" s="80" t="inlineStr">
        <is>
          <t>Cobertura de Intereses Operativa (EBIT / Intereses)</t>
        </is>
      </c>
      <c r="B27" s="89" t="inlineStr">
        <is>
          <t>EBIT / Gasto de Intereses</t>
        </is>
      </c>
      <c r="C27" s="90" t="inlineStr">
        <is>
          <t>Óptimo: &gt; 10.0x | Alerta: &lt; 2.5x</t>
        </is>
      </c>
      <c r="D27" s="82" t="inlineStr">
        <is>
          <t>INFINITA (SIN DEUDA)</t>
        </is>
      </c>
      <c r="E27" s="82" t="inlineStr">
        <is>
          <t>INFINITA (SIN DEUDA)</t>
        </is>
      </c>
      <c r="F27" s="82" t="inlineStr">
        <is>
          <t>INFINITA (SIN DEUDA)</t>
        </is>
      </c>
      <c r="G27" s="82" t="inlineStr">
        <is>
          <t>INFINITA (SIN DEUDA)</t>
        </is>
      </c>
      <c r="H27" s="82" t="inlineStr">
        <is>
          <t>INFINITA (SIN DEUDA)</t>
        </is>
      </c>
    </row>
    <row r="28" ht="18.5" customHeight="1">
      <c r="A28" s="5" t="inlineStr">
        <is>
          <t>Cobertura de Intereses en Caja (CFO / Intereses)</t>
        </is>
      </c>
      <c r="B28" s="33" t="inlineStr">
        <is>
          <t>CFO / Gasto de Intereses</t>
        </is>
      </c>
      <c r="C28" s="68" t="inlineStr">
        <is>
          <t>Óptimo: &gt; 8.0x | Alerta: &lt; 2.0x</t>
        </is>
      </c>
      <c r="D28" s="74" t="inlineStr">
        <is>
          <t>INFINITA (SIN DEUDA)</t>
        </is>
      </c>
      <c r="E28" s="74" t="inlineStr">
        <is>
          <t>INFINITA (SIN DEUDA)</t>
        </is>
      </c>
      <c r="F28" s="74" t="inlineStr">
        <is>
          <t>INFINITA (SIN DEUDA)</t>
        </is>
      </c>
      <c r="G28" s="74" t="inlineStr">
        <is>
          <t>INFINITA (SIN DEUDA)</t>
        </is>
      </c>
      <c r="H28" s="74" t="inlineStr">
        <is>
          <t>INFINITA (SIN DEUDA)</t>
        </is>
      </c>
    </row>
    <row r="29" ht="18.5" customHeight="1">
      <c r="A29" s="5" t="inlineStr">
        <is>
          <t>Carga Financiera sobre Caja (% Intereses / CFO)</t>
        </is>
      </c>
      <c r="B29" s="33" t="inlineStr">
        <is>
          <t>(Intereses / CFO) * 100</t>
        </is>
      </c>
      <c r="C29" s="68" t="inlineStr">
        <is>
          <t>Óptimo: &lt; 5.0% | Alerta: &gt; 20.0%</t>
        </is>
      </c>
      <c r="D29" s="91" t="n">
        <v>0</v>
      </c>
      <c r="E29" s="91" t="n">
        <v>0</v>
      </c>
      <c r="F29" s="91" t="n">
        <v>0</v>
      </c>
      <c r="G29" s="91" t="n">
        <v>0</v>
      </c>
      <c r="H29" s="91" t="n">
        <v>0</v>
      </c>
    </row>
    <row r="30" ht="22" customHeight="1">
      <c r="A30" s="40" t="inlineStr">
        <is>
          <t>Diagnóstico de Cobertura y Servicio</t>
        </is>
      </c>
      <c r="B30" s="33" t="inlineStr">
        <is>
          <t>Protección ante Tipos de Interés</t>
        </is>
      </c>
      <c r="C30" s="68" t="inlineStr">
        <is>
          <t>Resistencia Crediticia</t>
        </is>
      </c>
      <c r="D30" s="74" t="inlineStr">
        <is>
          <t>SERVICIO BLINDADO</t>
        </is>
      </c>
      <c r="E30" s="74" t="inlineStr">
        <is>
          <t>SERVICIO BLINDADO</t>
        </is>
      </c>
      <c r="F30" s="74" t="inlineStr">
        <is>
          <t>SERVICIO BLINDADO</t>
        </is>
      </c>
      <c r="G30" s="74" t="inlineStr">
        <is>
          <t>SERVICIO BLINDADO</t>
        </is>
      </c>
      <c r="H30" s="74" t="inlineStr">
        <is>
          <t>SERVICIO BLINDADO</t>
        </is>
      </c>
    </row>
    <row r="31" ht="56" customHeight="1">
      <c r="A31" s="76" t="inlineStr">
        <is>
          <t>Diagnóstico de Cobertura (FY2024): La compañía opera sin deuda financiera, por lo que carece de gasto financiero que comprometa sus resultados.</t>
        </is>
      </c>
      <c r="B31" s="29" t="n"/>
      <c r="C31" s="29" t="n"/>
      <c r="D31" s="29" t="n"/>
      <c r="E31" s="29" t="n"/>
      <c r="F31" s="29" t="n"/>
      <c r="G31" s="29" t="n"/>
      <c r="H31" s="29" t="n"/>
    </row>
    <row r="32" ht="10" customHeight="1"/>
    <row r="33" ht="22" customHeight="1">
      <c r="A33" s="18" t="inlineStr">
        <is>
          <t>TABLA 3: LIQUIDEZ ESTRICTA Y RIESGO DE REFINANCIACIÓN (ROLLOVER RISK)</t>
        </is>
      </c>
      <c r="B33" s="19" t="n"/>
      <c r="C33" s="19" t="n"/>
      <c r="D33" s="19" t="n"/>
      <c r="E33" s="19" t="n"/>
      <c r="F33" s="19" t="n"/>
      <c r="G33" s="19" t="n"/>
      <c r="H33" s="19" t="n"/>
    </row>
    <row r="34" ht="25" customHeight="1">
      <c r="A34" s="3" t="inlineStr">
        <is>
          <t>Ratio de Liquidez / Refinanciación</t>
        </is>
      </c>
      <c r="B34" s="3" t="inlineStr">
        <is>
          <t>Definición / Fórmula Contable</t>
        </is>
      </c>
      <c r="C34" s="4" t="inlineStr">
        <is>
          <t>Parámetro de Solvencia Inmediata</t>
        </is>
      </c>
      <c r="D34" s="4" t="inlineStr">
        <is>
          <t>FY2024</t>
        </is>
      </c>
      <c r="E34" s="4" t="inlineStr">
        <is>
          <t>FY2023</t>
        </is>
      </c>
      <c r="F34" s="4" t="inlineStr">
        <is>
          <t>FY2022</t>
        </is>
      </c>
      <c r="G34" s="4" t="inlineStr">
        <is>
          <t>FY2021</t>
        </is>
      </c>
      <c r="H34" s="4" t="inlineStr">
        <is>
          <t>FY2020</t>
        </is>
      </c>
    </row>
    <row r="35" ht="18.5" customHeight="1">
      <c r="A35" s="5" t="inlineStr">
        <is>
          <t>(+) Caja y Equivalentes ($M) [Cash &amp; ST Investments]</t>
        </is>
      </c>
      <c r="B35" s="33" t="inlineStr">
        <is>
          <t>Efectivo Disponible Inmediato</t>
        </is>
      </c>
      <c r="C35" s="68" t="inlineStr">
        <is>
          <t>Tesorería Líquida</t>
        </is>
      </c>
      <c r="D35" s="69" t="n">
        <v>9185.700000000001</v>
      </c>
      <c r="E35" s="69" t="n">
        <v>5923.4</v>
      </c>
      <c r="F35" s="69" t="n">
        <v>4172.3</v>
      </c>
      <c r="G35" s="69" t="n">
        <v>2705.7</v>
      </c>
      <c r="H35" s="69" t="n">
        <v>2343.8</v>
      </c>
    </row>
    <row r="36" ht="18.5" customHeight="1">
      <c r="A36" s="5" t="inlineStr">
        <is>
          <t>(+) Cuentas por Cobrar a Clientes ($M) [Receivables]</t>
        </is>
      </c>
      <c r="B36" s="33" t="inlineStr">
        <is>
          <t>Créditos Comerciales Pendientes</t>
        </is>
      </c>
      <c r="C36" s="68" t="inlineStr">
        <is>
          <t>Cobro &lt; 90 días</t>
        </is>
      </c>
      <c r="D36" s="69" t="n">
        <v>0</v>
      </c>
      <c r="E36" s="69" t="n">
        <v>0</v>
      </c>
      <c r="F36" s="69" t="n">
        <v>0</v>
      </c>
      <c r="G36" s="69" t="n">
        <v>0</v>
      </c>
      <c r="H36" s="69" t="n">
        <v>0</v>
      </c>
    </row>
    <row r="37" ht="18.5" customHeight="1">
      <c r="A37" s="5" t="inlineStr">
        <is>
          <t>(-) Pasivo Corriente ($M) [Current Liabilities]</t>
        </is>
      </c>
      <c r="B37" s="33" t="inlineStr">
        <is>
          <t>Obligaciones Exigibles &lt; 12 meses</t>
        </is>
      </c>
      <c r="C37" s="68" t="inlineStr">
        <is>
          <t>Deuda Corto Plazo</t>
        </is>
      </c>
      <c r="D37" s="77" t="inlineStr">
        <is>
          <t>-</t>
        </is>
      </c>
      <c r="E37" s="77" t="inlineStr">
        <is>
          <t>-</t>
        </is>
      </c>
      <c r="F37" s="77" t="inlineStr">
        <is>
          <t>-</t>
        </is>
      </c>
      <c r="G37" s="77" t="inlineStr">
        <is>
          <t>-</t>
        </is>
      </c>
      <c r="H37" s="77" t="inlineStr">
        <is>
          <t>-</t>
        </is>
      </c>
    </row>
    <row r="38" ht="18.5" customHeight="1">
      <c r="A38" s="5" t="inlineStr">
        <is>
          <t>Ratio de Liquidez Inmediata (Cash Ratio)</t>
        </is>
      </c>
      <c r="B38" s="33" t="inlineStr">
        <is>
          <t>Caja / Pasivo Corriente</t>
        </is>
      </c>
      <c r="C38" s="68" t="inlineStr">
        <is>
          <t>Óptimo: &gt; 0.50x | Alerta: &lt; 0.20x</t>
        </is>
      </c>
      <c r="D38" s="77" t="inlineStr">
        <is>
          <t>-</t>
        </is>
      </c>
      <c r="E38" s="77" t="inlineStr">
        <is>
          <t>-</t>
        </is>
      </c>
      <c r="F38" s="77" t="inlineStr">
        <is>
          <t>-</t>
        </is>
      </c>
      <c r="G38" s="77" t="inlineStr">
        <is>
          <t>-</t>
        </is>
      </c>
      <c r="H38" s="77" t="inlineStr">
        <is>
          <t>-</t>
        </is>
      </c>
    </row>
    <row r="39" ht="18.5" customHeight="1">
      <c r="A39" s="13" t="inlineStr">
        <is>
          <t>Test Ácido / Quick Ratio (Caja + AR / Pasivo Corr.)</t>
        </is>
      </c>
      <c r="B39" s="85" t="inlineStr">
        <is>
          <t>(Caja + Cobros) / Pasivo Corriente</t>
        </is>
      </c>
      <c r="C39" s="86" t="inlineStr">
        <is>
          <t>Óptimo: &gt; 1.20x | Alerta: &lt; 0.80x</t>
        </is>
      </c>
      <c r="D39" s="92" t="inlineStr">
        <is>
          <t>-</t>
        </is>
      </c>
      <c r="E39" s="92" t="inlineStr">
        <is>
          <t>-</t>
        </is>
      </c>
      <c r="F39" s="92" t="inlineStr">
        <is>
          <t>-</t>
        </is>
      </c>
      <c r="G39" s="92" t="inlineStr">
        <is>
          <t>-</t>
        </is>
      </c>
      <c r="H39" s="92" t="inlineStr">
        <is>
          <t>-</t>
        </is>
      </c>
    </row>
    <row r="40" ht="18.5" customHeight="1">
      <c r="A40" s="5" t="inlineStr">
        <is>
          <t>Ratio Corriente / Current Ratio (Act. Corr. / Pas. Corr.)</t>
        </is>
      </c>
      <c r="B40" s="33" t="inlineStr">
        <is>
          <t>Activo Corriente / Pasivo Corriente</t>
        </is>
      </c>
      <c r="C40" s="68" t="inlineStr">
        <is>
          <t>Óptimo: &gt; 1.50x | Alerta: &lt; 1.00x</t>
        </is>
      </c>
      <c r="D40" s="77" t="inlineStr">
        <is>
          <t>-</t>
        </is>
      </c>
      <c r="E40" s="77" t="inlineStr">
        <is>
          <t>-</t>
        </is>
      </c>
      <c r="F40" s="77" t="inlineStr">
        <is>
          <t>-</t>
        </is>
      </c>
      <c r="G40" s="77" t="inlineStr">
        <is>
          <t>-</t>
        </is>
      </c>
      <c r="H40" s="77" t="inlineStr">
        <is>
          <t>-</t>
        </is>
      </c>
    </row>
    <row r="41" ht="18.5" customHeight="1">
      <c r="A41" s="5" t="inlineStr">
        <is>
          <t>Deuda Financiera a Corto Plazo ($M) [ST Debt]</t>
        </is>
      </c>
      <c r="B41" s="33" t="inlineStr">
        <is>
          <t>Vencimientos de Deuda &lt; 1 Año</t>
        </is>
      </c>
      <c r="C41" s="68" t="inlineStr">
        <is>
          <t>Exigibilidad Inmediata</t>
        </is>
      </c>
      <c r="D41" s="69" t="n">
        <v>0</v>
      </c>
      <c r="E41" s="69" t="n">
        <v>0</v>
      </c>
      <c r="F41" s="69" t="n">
        <v>0</v>
      </c>
      <c r="G41" s="69" t="n">
        <v>0</v>
      </c>
      <c r="H41" s="69" t="n">
        <v>0</v>
      </c>
    </row>
    <row r="42" ht="18.5" customHeight="1">
      <c r="A42" s="80" t="inlineStr">
        <is>
          <t>Riesgo de Refinanciación (% Deuda Corto Plazo / Total)</t>
        </is>
      </c>
      <c r="B42" s="89" t="inlineStr">
        <is>
          <t>(Deuda CP / Deuda Total) * 100</t>
        </is>
      </c>
      <c r="C42" s="90" t="inlineStr">
        <is>
          <t>Óptimo: &lt; 25.0% | Alerta: &gt; 50.0%</t>
        </is>
      </c>
      <c r="D42" s="72" t="n">
        <v>0</v>
      </c>
      <c r="E42" s="72" t="n">
        <v>0</v>
      </c>
      <c r="F42" s="72" t="n">
        <v>0</v>
      </c>
      <c r="G42" s="72" t="n">
        <v>0</v>
      </c>
      <c r="H42" s="72" t="n">
        <v>0</v>
      </c>
    </row>
    <row r="43" ht="22" customHeight="1">
      <c r="A43" s="40" t="inlineStr">
        <is>
          <t>Diagnóstico de Liquidez y Refinanciación</t>
        </is>
      </c>
      <c r="B43" s="33" t="inlineStr">
        <is>
          <t>Salud de Tesorería y Calendario de Deuda</t>
        </is>
      </c>
      <c r="C43" s="68" t="inlineStr">
        <is>
          <t>Riesgo de Liquidez</t>
        </is>
      </c>
      <c r="D43" s="60" t="inlineStr">
        <is>
          <t>N/A FINANCIERA</t>
        </is>
      </c>
      <c r="E43" s="60" t="inlineStr">
        <is>
          <t>N/A FINANCIERA</t>
        </is>
      </c>
      <c r="F43" s="60" t="inlineStr">
        <is>
          <t>N/A FINANCIERA</t>
        </is>
      </c>
      <c r="G43" s="60" t="inlineStr">
        <is>
          <t>N/A FINANCIERA</t>
        </is>
      </c>
      <c r="H43" s="60" t="inlineStr">
        <is>
          <t>N/A FINANCIERA</t>
        </is>
      </c>
    </row>
    <row r="44" ht="56" customHeight="1">
      <c r="A44" s="76" t="inlineStr">
        <is>
          <t>Diagnóstico de Liquidez (FY2024): Estructura de balance sin clasificación corriente/no corriente (bancos y aseguradoras operan con activos/pasivos financieros directos).</t>
        </is>
      </c>
      <c r="B44" s="29" t="n"/>
      <c r="C44" s="29" t="n"/>
      <c r="D44" s="29" t="n"/>
      <c r="E44" s="29" t="n"/>
      <c r="F44" s="29" t="n"/>
      <c r="G44" s="29" t="n"/>
      <c r="H44" s="29" t="n"/>
    </row>
    <row r="45" ht="10" customHeight="1"/>
    <row r="46" ht="22" customHeight="1">
      <c r="A46" s="18" t="inlineStr">
        <is>
          <t>TABLA 4: MODELOS PREDICTIVOS DE QUIEBRA Y RATING SINTÉTICO (ALTMAN Z'' &amp; DAMODARAN)</t>
        </is>
      </c>
      <c r="B46" s="19" t="n"/>
      <c r="C46" s="19" t="n"/>
      <c r="D46" s="19" t="n"/>
      <c r="E46" s="19" t="n"/>
      <c r="F46" s="19" t="n"/>
      <c r="G46" s="19" t="n"/>
      <c r="H46" s="19" t="n"/>
    </row>
    <row r="47" ht="25" customHeight="1">
      <c r="A47" s="3" t="inlineStr">
        <is>
          <t>Modelo / Métrica de Estrés e Insolvencia</t>
        </is>
      </c>
      <c r="B47" s="3" t="inlineStr">
        <is>
          <t>Definición / Fórmula Econométrica</t>
        </is>
      </c>
      <c r="C47" s="4" t="inlineStr">
        <is>
          <t>Clasificación de Riesgo Crediticio</t>
        </is>
      </c>
      <c r="D47" s="4" t="inlineStr">
        <is>
          <t>FY2024</t>
        </is>
      </c>
      <c r="E47" s="4" t="inlineStr">
        <is>
          <t>FY2023</t>
        </is>
      </c>
      <c r="F47" s="4" t="inlineStr">
        <is>
          <t>FY2022</t>
        </is>
      </c>
      <c r="G47" s="4" t="inlineStr">
        <is>
          <t>FY2021</t>
        </is>
      </c>
      <c r="H47" s="4" t="inlineStr">
        <is>
          <t>FY2020</t>
        </is>
      </c>
    </row>
    <row r="48" ht="18.5" customHeight="1">
      <c r="A48" s="5" t="inlineStr">
        <is>
          <t>Componente X1: Fondo de Maniobra / Activos</t>
        </is>
      </c>
      <c r="B48" s="33" t="inlineStr">
        <is>
          <t>(Activo Corriente - Pasivo Corriente) / Activos</t>
        </is>
      </c>
      <c r="C48" s="68" t="inlineStr">
        <is>
          <t>Liquidez Relativa de Balance</t>
        </is>
      </c>
      <c r="D48" s="93" t="n">
        <v>0</v>
      </c>
      <c r="E48" s="93" t="n">
        <v>0</v>
      </c>
      <c r="F48" s="93" t="n">
        <v>0</v>
      </c>
      <c r="G48" s="93" t="n">
        <v>0</v>
      </c>
      <c r="H48" s="93" t="n">
        <v>0</v>
      </c>
    </row>
    <row r="49" ht="18.5" customHeight="1">
      <c r="A49" s="5" t="inlineStr">
        <is>
          <t>Componente X2: Resultados Acumulados / Activos</t>
        </is>
      </c>
      <c r="B49" s="33" t="inlineStr">
        <is>
          <t>Retained Earnings / Activos Totales</t>
        </is>
      </c>
      <c r="C49" s="68" t="inlineStr">
        <is>
          <t>Autofinanciación Histórica</t>
        </is>
      </c>
      <c r="D49" s="93" t="n">
        <v>0</v>
      </c>
      <c r="E49" s="93" t="n">
        <v>0</v>
      </c>
      <c r="F49" s="93" t="n">
        <v>0</v>
      </c>
      <c r="G49" s="93" t="n">
        <v>0</v>
      </c>
      <c r="H49" s="93" t="n">
        <v>0</v>
      </c>
    </row>
    <row r="50" ht="18.5" customHeight="1">
      <c r="A50" s="5" t="inlineStr">
        <is>
          <t>Componente X3: EBIT / Activos Totales</t>
        </is>
      </c>
      <c r="B50" s="33" t="inlineStr">
        <is>
          <t>Beneficio Operativo / Activos Totales</t>
        </is>
      </c>
      <c r="C50" s="68" t="inlineStr">
        <is>
          <t>Productividad Pura de Activos</t>
        </is>
      </c>
      <c r="D50" s="93" t="n">
        <v>0</v>
      </c>
      <c r="E50" s="93" t="n">
        <v>0</v>
      </c>
      <c r="F50" s="93" t="n">
        <v>0</v>
      </c>
      <c r="G50" s="93" t="n">
        <v>0</v>
      </c>
      <c r="H50" s="93" t="n">
        <v>0</v>
      </c>
    </row>
    <row r="51" ht="18.5" customHeight="1">
      <c r="A51" s="5" t="inlineStr">
        <is>
          <t>Componente X4: Patrimonio Neto / Pasivos Totales</t>
        </is>
      </c>
      <c r="B51" s="33" t="inlineStr">
        <is>
          <t>Stockholders' Equity / Total Liabilities</t>
        </is>
      </c>
      <c r="C51" s="68" t="inlineStr">
        <is>
          <t>Colchón de Solvencia Patrimonial</t>
        </is>
      </c>
      <c r="D51" s="93" t="n">
        <v>0.1808</v>
      </c>
      <c r="E51" s="93" t="n">
        <v>0.1727</v>
      </c>
      <c r="F51" s="93" t="n">
        <v>0.1953</v>
      </c>
      <c r="G51" s="93" t="n">
        <v>0.2881</v>
      </c>
      <c r="H51" s="93" t="n">
        <v>0.0451</v>
      </c>
    </row>
    <row r="52" ht="18.5" customHeight="1">
      <c r="A52" s="80" t="inlineStr">
        <is>
          <t>(=) ALTMAN Z''-SCORE TOTAL (Modelo 4 Variables)</t>
        </is>
      </c>
      <c r="B52" s="89" t="inlineStr">
        <is>
          <t>6.56*X1 + 3.26*X2 + 6.72*X3 + 1.05*X4</t>
        </is>
      </c>
      <c r="C52" s="90" t="inlineStr">
        <is>
          <t>Segura: &gt; 2.60 | Distress: &lt; 1.10</t>
        </is>
      </c>
      <c r="D52" s="94" t="n">
        <v>0.19</v>
      </c>
      <c r="E52" s="94" t="n">
        <v>0.18</v>
      </c>
      <c r="F52" s="94" t="n">
        <v>0.21</v>
      </c>
      <c r="G52" s="94" t="n">
        <v>0.3</v>
      </c>
      <c r="H52" s="94" t="n">
        <v>0.05</v>
      </c>
    </row>
    <row r="53" ht="18.5" customHeight="1">
      <c r="A53" s="40" t="inlineStr">
        <is>
          <t>Zona de Riesgo de Quiebra Altman</t>
        </is>
      </c>
      <c r="B53" s="33" t="inlineStr">
        <is>
          <t>Dictamen Econométrico de Insolvencia</t>
        </is>
      </c>
      <c r="C53" s="68" t="inlineStr">
        <is>
          <t>Probabilidad de Default a 2 Años</t>
        </is>
      </c>
      <c r="D53" s="75" t="inlineStr">
        <is>
          <t>ZONA DE DISTRESS (ALTO RIESGO DE INSOLVENCIA)</t>
        </is>
      </c>
      <c r="E53" s="75" t="inlineStr">
        <is>
          <t>ZONA DE DISTRESS (ALTO RIESGO DE INSOLVENCIA)</t>
        </is>
      </c>
      <c r="F53" s="75" t="inlineStr">
        <is>
          <t>ZONA DE DISTRESS (ALTO RIESGO DE INSOLVENCIA)</t>
        </is>
      </c>
      <c r="G53" s="75" t="inlineStr">
        <is>
          <t>ZONA DE DISTRESS (ALTO RIESGO DE INSOLVENCIA)</t>
        </is>
      </c>
      <c r="H53" s="75" t="inlineStr">
        <is>
          <t>ZONA DE DISTRESS (ALTO RIESGO DE INSOLVENCIA)</t>
        </is>
      </c>
    </row>
    <row r="54" ht="18.5" customHeight="1">
      <c r="A54" s="80" t="inlineStr">
        <is>
          <t>(=) Rating Crediticio Sintético (Damodaran)</t>
        </is>
      </c>
      <c r="B54" s="89" t="inlineStr">
        <is>
          <t>Equivalencia S&amp;P / Moody's según Cobertura</t>
        </is>
      </c>
      <c r="C54" s="90" t="inlineStr">
        <is>
          <t>Grado de Inversión (AAA a BBB-)</t>
        </is>
      </c>
      <c r="D54" s="82" t="inlineStr">
        <is>
          <t>AAA</t>
        </is>
      </c>
      <c r="E54" s="82" t="inlineStr">
        <is>
          <t>AAA</t>
        </is>
      </c>
      <c r="F54" s="82" t="inlineStr">
        <is>
          <t>AAA</t>
        </is>
      </c>
      <c r="G54" s="82" t="inlineStr">
        <is>
          <t>AAA</t>
        </is>
      </c>
      <c r="H54" s="82" t="inlineStr">
        <is>
          <t>AAA</t>
        </is>
      </c>
    </row>
    <row r="55" ht="18.5" customHeight="1">
      <c r="A55" s="5" t="inlineStr">
        <is>
          <t>Calificación Detallada del Emisor</t>
        </is>
      </c>
      <c r="B55" s="33" t="inlineStr">
        <is>
          <t>Descripción Institucional del Rating</t>
        </is>
      </c>
      <c r="C55" s="68" t="inlineStr">
        <is>
          <t>Categoría de Calidad Crediticia</t>
        </is>
      </c>
      <c r="D55" s="21" t="inlineStr">
        <is>
          <t>MÁXIMA CALIDAD CREDITICIA (LIBRE DE DEUDA)</t>
        </is>
      </c>
      <c r="E55" s="21" t="inlineStr">
        <is>
          <t>MÁXIMA CALIDAD CREDITICIA (LIBRE DE DEUDA)</t>
        </is>
      </c>
      <c r="F55" s="21" t="inlineStr">
        <is>
          <t>MÁXIMA CALIDAD CREDITICIA (LIBRE DE DEUDA)</t>
        </is>
      </c>
      <c r="G55" s="21" t="inlineStr">
        <is>
          <t>MÁXIMA CALIDAD CREDITICIA (LIBRE DE DEUDA)</t>
        </is>
      </c>
      <c r="H55" s="21" t="inlineStr">
        <is>
          <t>MÁXIMA CALIDAD CREDITICIA (LIBRE DE DEUDA)</t>
        </is>
      </c>
    </row>
    <row r="56" ht="18.5" customHeight="1">
      <c r="A56" s="5" t="inlineStr">
        <is>
          <t>Diferencial de Crédito Teórico (Spread %)</t>
        </is>
      </c>
      <c r="B56" s="33" t="inlineStr">
        <is>
          <t>Spread Estimado sobre Tipo Libre de Riesgo</t>
        </is>
      </c>
      <c r="C56" s="68" t="inlineStr">
        <is>
          <t>Coste de Financiación Marginal</t>
        </is>
      </c>
      <c r="D56" s="20" t="n">
        <v>0.004</v>
      </c>
      <c r="E56" s="20" t="n">
        <v>0.004</v>
      </c>
      <c r="F56" s="20" t="n">
        <v>0.004</v>
      </c>
      <c r="G56" s="20" t="n">
        <v>0.004</v>
      </c>
      <c r="H56" s="20" t="n">
        <v>0.004</v>
      </c>
    </row>
    <row r="57" ht="18.5" customHeight="1">
      <c r="A57" s="5" t="inlineStr">
        <is>
          <t>Probabilidad Estadística de Default (%)</t>
        </is>
      </c>
      <c r="B57" s="33" t="inlineStr">
        <is>
          <t>Frecuencia Histórica de Impago Acumulada</t>
        </is>
      </c>
      <c r="C57" s="68" t="inlineStr">
        <is>
          <t>Estadística S&amp;P a 10 Años</t>
        </is>
      </c>
      <c r="D57" s="21" t="inlineStr">
        <is>
          <t>&lt; 0.1%</t>
        </is>
      </c>
      <c r="E57" s="21" t="inlineStr">
        <is>
          <t>&lt; 0.1%</t>
        </is>
      </c>
      <c r="F57" s="21" t="inlineStr">
        <is>
          <t>&lt; 0.1%</t>
        </is>
      </c>
      <c r="G57" s="21" t="inlineStr">
        <is>
          <t>&lt; 0.1%</t>
        </is>
      </c>
      <c r="H57" s="21" t="inlineStr">
        <is>
          <t>&lt; 0.1%</t>
        </is>
      </c>
    </row>
  </sheetData>
  <mergeCells count="4">
    <mergeCell ref="A31:H31"/>
    <mergeCell ref="B5:H5"/>
    <mergeCell ref="A20:H20"/>
    <mergeCell ref="A44:H44"/>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4"/>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18" customWidth="1" min="3" max="3"/>
    <col width="18" customWidth="1" min="4" max="4"/>
    <col width="18" customWidth="1" min="5" max="5"/>
    <col width="18" customWidth="1" min="6" max="6"/>
    <col width="18" customWidth="1" min="7" max="7"/>
  </cols>
  <sheetData>
    <row r="1" ht="30" customHeight="1">
      <c r="A1" s="1" t="inlineStr">
        <is>
          <t>Nu Holdings Ltd. (NU) - Conciliación Tripartita de Integridad Contable</t>
        </is>
      </c>
    </row>
    <row r="2" ht="18" customHeight="1">
      <c r="A2" s="2" t="inlineStr">
        <is>
          <t>Cotejo cruzado: SEC EDGAR XBRL (Oficial) vs. SEC Company Facts API vs. Terminales de Mercado (fiscal.ai / Tikr)</t>
        </is>
      </c>
    </row>
    <row r="3" ht="8" customHeight="1"/>
    <row r="4" ht="25" customHeight="1">
      <c r="A4" s="4" t="inlineStr">
        <is>
          <t>Período</t>
        </is>
      </c>
      <c r="B4" s="3" t="inlineStr">
        <is>
          <t>Métrica / Partida Contable</t>
        </is>
      </c>
      <c r="C4" s="95" t="inlineStr">
        <is>
          <t>SEC EDGAR (As-Reported)</t>
        </is>
      </c>
      <c r="D4" s="95" t="inlineStr">
        <is>
          <t>Cifra Ajustada (Split/Norm)</t>
        </is>
      </c>
      <c r="E4" s="95" t="inlineStr">
        <is>
          <t>Mercado (fiscal.ai / Tikr)</t>
        </is>
      </c>
      <c r="F4" s="4" t="inlineStr">
        <is>
          <t>Dictamen de Auditoría</t>
        </is>
      </c>
      <c r="G4" s="3" t="inlineStr">
        <is>
          <t>Trazabilidad &amp; Explicación Matemática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2026-09-22T22:38:33Z</dcterms:created>
  <dcterms:modified xmlns:dcterms="http://purl.org/dc/terms/" xmlns:xsi="http://www.w3.org/2001/XMLSchema-instance" xsi:type="dcterms:W3CDTF">2026-09-22T22:44:40Z</dcterms:modified>
</cp:coreProperties>
</file>