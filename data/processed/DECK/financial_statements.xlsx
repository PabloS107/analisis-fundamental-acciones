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Fundamental" sheetId="1" state="visible" r:id="rId1"/>
    <sheet xmlns:r="http://schemas.openxmlformats.org/officeDocument/2006/relationships" name="Ratios Financieros" sheetId="2" state="visible" r:id="rId2"/>
    <sheet xmlns:r="http://schemas.openxmlformats.org/officeDocument/2006/relationships" name="Cuenta de Resultados" sheetId="3" state="visible" r:id="rId3"/>
    <sheet xmlns:r="http://schemas.openxmlformats.org/officeDocument/2006/relationships" name="Balance Patrimonial" sheetId="4" state="visible" r:id="rId4"/>
    <sheet xmlns:r="http://schemas.openxmlformats.org/officeDocument/2006/relationships" name="Flujo de Caja" sheetId="5" state="visible" r:id="rId5"/>
    <sheet xmlns:r="http://schemas.openxmlformats.org/officeDocument/2006/relationships" name="Desglose de Segmentos" sheetId="6" state="visible" r:id="rId6"/>
    <sheet xmlns:r="http://schemas.openxmlformats.org/officeDocument/2006/relationships" name="Scores Fundamentales" sheetId="7" state="visible" r:id="rId7"/>
    <sheet xmlns:r="http://schemas.openxmlformats.org/officeDocument/2006/relationships" name="Peer Group &amp; Medianas" sheetId="8" state="visible" r:id="rId8"/>
    <sheet xmlns:r="http://schemas.openxmlformats.org/officeDocument/2006/relationships" name="Auditoría Forense &amp; Devengos" sheetId="9" state="visible" r:id="rId9"/>
    <sheet xmlns:r="http://schemas.openxmlformats.org/officeDocument/2006/relationships" name="Solvencia &amp; Estrés Financiero" sheetId="10" state="visible" r:id="rId10"/>
    <sheet xmlns:r="http://schemas.openxmlformats.org/officeDocument/2006/relationships" name="Conciliación &amp; Fuentes" sheetId="11" state="visible" r:id="rId11"/>
  </sheets>
  <definedNames/>
  <calcPr calcId="124519" fullCalcOnLoad="1"/>
</workbook>
</file>

<file path=xl/styles.xml><?xml version="1.0" encoding="utf-8"?>
<styleSheet xmlns="http://schemas.openxmlformats.org/spreadsheetml/2006/main">
  <numFmts count="8">
    <numFmt numFmtId="164" formatCode="$#,##0.0;($#,##0.0);&quot;-&quot;"/>
    <numFmt numFmtId="165" formatCode="$#,##0.00;($#,##0.00);&quot;-&quot;"/>
    <numFmt numFmtId="166" formatCode="#,##0.0;(#,##0.0);&quot;-&quot;"/>
    <numFmt numFmtId="167" formatCode="0.00&quot;x&quot;"/>
    <numFmt numFmtId="168" formatCode="+0.00%;-0.00%;0.00%"/>
    <numFmt numFmtId="169" formatCode="0.0&quot;d&quot;"/>
    <numFmt numFmtId="170" formatCode="+0.0&quot;d&quot;;-0.0&quot;d&quot;;&quot;0.0d&quot;"/>
    <numFmt numFmtId="171" formatCode="0.0000"/>
  </numFmts>
  <fonts count="11">
    <font>
      <name val="Calibri"/>
      <family val="2"/>
      <color theme="1"/>
      <sz val="11"/>
      <scheme val="minor"/>
    </font>
    <font>
      <name val="Calibri"/>
      <b val="1"/>
      <color rgb="001B365D"/>
      <sz val="14"/>
    </font>
    <font>
      <name val="Calibri"/>
      <i val="1"/>
      <color rgb="00595959"/>
      <sz val="10"/>
    </font>
    <font>
      <name val="Calibri"/>
      <b val="1"/>
      <color rgb="00FFFFFF"/>
      <sz val="11"/>
    </font>
    <font>
      <name val="Calibri"/>
      <b val="1"/>
      <color rgb="00FFD700"/>
      <sz val="11"/>
    </font>
    <font>
      <name val="Calibri"/>
      <color rgb="00000000"/>
      <sz val="11"/>
    </font>
    <font>
      <name val="Calibri"/>
      <b val="1"/>
      <color rgb="00000000"/>
      <sz val="11"/>
    </font>
    <font>
      <name val="Calibri"/>
      <b val="1"/>
      <color rgb="001B365D"/>
      <sz val="11"/>
    </font>
    <font>
      <name val="Calibri"/>
      <b val="1"/>
      <color rgb="001B365D"/>
      <sz val="12"/>
    </font>
    <font>
      <name val="Calibri"/>
      <b val="1"/>
      <color rgb="00276A3C"/>
      <sz val="11"/>
    </font>
    <font>
      <name val="Calibri"/>
      <b val="1"/>
      <color rgb="00C00000"/>
      <sz val="11"/>
    </font>
  </fonts>
  <fills count="9">
    <fill>
      <patternFill/>
    </fill>
    <fill>
      <patternFill patternType="gray125"/>
    </fill>
    <fill>
      <patternFill patternType="solid">
        <fgColor rgb="001B365D"/>
        <bgColor rgb="001B365D"/>
      </patternFill>
    </fill>
    <fill>
      <patternFill patternType="solid">
        <fgColor rgb="000A3641"/>
        <bgColor rgb="000A3641"/>
      </patternFill>
    </fill>
    <fill>
      <patternFill patternType="solid">
        <fgColor rgb="00F0F4F9"/>
        <bgColor rgb="00F0F4F9"/>
      </patternFill>
    </fill>
    <fill>
      <patternFill patternType="solid">
        <fgColor rgb="00E2EFDA"/>
        <bgColor rgb="00E2EFDA"/>
      </patternFill>
    </fill>
    <fill>
      <patternFill patternType="solid">
        <fgColor rgb="00E8EEF5"/>
        <bgColor rgb="00E8EEF5"/>
      </patternFill>
    </fill>
    <fill>
      <patternFill patternType="solid">
        <fgColor rgb="00FCE4D6"/>
        <bgColor rgb="00FCE4D6"/>
      </patternFill>
    </fill>
    <fill>
      <patternFill patternType="solid">
        <fgColor rgb="00FFF2CC"/>
        <bgColor rgb="00FFF2CC"/>
      </patternFill>
    </fill>
  </fills>
  <borders count="8">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000000"/>
      </top>
      <bottom style="thin">
        <color rgb="00000000"/>
      </bottom>
    </border>
    <border>
      <left style="thin">
        <color rgb="00D9D9D9"/>
      </left>
      <right style="thin">
        <color rgb="00D9D9D9"/>
      </right>
      <top style="thin">
        <color rgb="00000000"/>
      </top>
      <bottom style="double">
        <color rgb="00000000"/>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2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3" borderId="0" applyAlignment="1" pivotButton="0" quotePrefix="0" xfId="0">
      <alignment horizontal="center" vertical="center"/>
    </xf>
    <xf numFmtId="0" fontId="3" fillId="2" borderId="0" applyAlignment="1" pivotButton="0" quotePrefix="0" xfId="0">
      <alignment horizontal="center" vertical="center"/>
    </xf>
    <xf numFmtId="0" fontId="5" fillId="0" borderId="1" pivotButton="0" quotePrefix="0" xfId="0"/>
    <xf numFmtId="164" fontId="5" fillId="0" borderId="1" pivotButton="0" quotePrefix="0" xfId="0"/>
    <xf numFmtId="0" fontId="6" fillId="4" borderId="2" pivotButton="0" quotePrefix="0" xfId="0"/>
    <xf numFmtId="164" fontId="6" fillId="4" borderId="2" pivotButton="0" quotePrefix="0" xfId="0"/>
    <xf numFmtId="0" fontId="6" fillId="5" borderId="2" pivotButton="0" quotePrefix="0" xfId="0"/>
    <xf numFmtId="164" fontId="6" fillId="5" borderId="2" pivotButton="0" quotePrefix="0" xfId="0"/>
    <xf numFmtId="0" fontId="6" fillId="0" borderId="2" pivotButton="0" quotePrefix="0" xfId="0"/>
    <xf numFmtId="164" fontId="6" fillId="0" borderId="2" pivotButton="0" quotePrefix="0" xfId="0"/>
    <xf numFmtId="165" fontId="6" fillId="4" borderId="2" pivotButton="0" quotePrefix="0" xfId="0"/>
    <xf numFmtId="165" fontId="5" fillId="0" borderId="1" pivotButton="0" quotePrefix="0" xfId="0"/>
    <xf numFmtId="166" fontId="6" fillId="0" borderId="2" pivotButton="0" quotePrefix="0" xfId="0"/>
    <xf numFmtId="166" fontId="5" fillId="0" borderId="1" pivotButton="0" quotePrefix="0" xfId="0"/>
    <xf numFmtId="0" fontId="7" fillId="6" borderId="0" pivotButton="0" quotePrefix="0" xfId="0"/>
    <xf numFmtId="0" fontId="0" fillId="6" borderId="0" pivotButton="0" quotePrefix="0" xfId="0"/>
    <xf numFmtId="10" fontId="5" fillId="0" borderId="1" applyAlignment="1" pivotButton="0" quotePrefix="0" xfId="0">
      <alignment horizontal="right" vertical="center"/>
    </xf>
    <xf numFmtId="167" fontId="5" fillId="0" borderId="1" applyAlignment="1" pivotButton="0" quotePrefix="0" xfId="0">
      <alignment horizontal="right" vertical="center"/>
    </xf>
    <xf numFmtId="0" fontId="6" fillId="4" borderId="2" applyAlignment="1" pivotButton="0" quotePrefix="0" xfId="0">
      <alignment horizontal="center"/>
    </xf>
    <xf numFmtId="0" fontId="5" fillId="0" borderId="1" applyAlignment="1" pivotButton="0" quotePrefix="0" xfId="0">
      <alignment horizontal="center"/>
    </xf>
    <xf numFmtId="0" fontId="6" fillId="4" borderId="3" pivotButton="0" quotePrefix="0" xfId="0"/>
    <xf numFmtId="164" fontId="6" fillId="4" borderId="3" pivotButton="0" quotePrefix="0" xfId="0"/>
    <xf numFmtId="0" fontId="6" fillId="6" borderId="0" pivotButton="0" quotePrefix="0" xfId="0"/>
    <xf numFmtId="0" fontId="6" fillId="0" borderId="0" pivotButton="0" quotePrefix="0" xfId="0"/>
    <xf numFmtId="0" fontId="8" fillId="0" borderId="0" pivotButton="0" quotePrefix="0" xfId="0"/>
    <xf numFmtId="0" fontId="2" fillId="0" borderId="1" pivotButton="0" quotePrefix="0" xfId="0"/>
    <xf numFmtId="0" fontId="9" fillId="5" borderId="1" applyAlignment="1" pivotButton="0" quotePrefix="0" xfId="0">
      <alignment horizontal="center" vertical="center" wrapText="1"/>
    </xf>
    <xf numFmtId="0" fontId="10" fillId="7" borderId="1" applyAlignment="1" pivotButton="0" quotePrefix="0" xfId="0">
      <alignment horizontal="center" vertical="center" wrapText="1"/>
    </xf>
    <xf numFmtId="0" fontId="8" fillId="8" borderId="2" applyAlignment="1" pivotButton="0" quotePrefix="0" xfId="0">
      <alignment horizontal="center" vertical="center"/>
    </xf>
    <xf numFmtId="0" fontId="8" fillId="5" borderId="2" applyAlignment="1" pivotButton="0" quotePrefix="0" xfId="0">
      <alignment horizontal="center" vertical="center"/>
    </xf>
    <xf numFmtId="0" fontId="8" fillId="7" borderId="2" applyAlignment="1" pivotButton="0" quotePrefix="0" xfId="0">
      <alignment horizontal="center" vertical="center"/>
    </xf>
    <xf numFmtId="0" fontId="6" fillId="0" borderId="1" applyAlignment="1" pivotButton="0" quotePrefix="0" xfId="0">
      <alignment horizontal="center" vertical="center"/>
    </xf>
    <xf numFmtId="0" fontId="6" fillId="0" borderId="1" pivotButton="0" quotePrefix="0" xfId="0"/>
    <xf numFmtId="10" fontId="5" fillId="5" borderId="1" applyAlignment="1" pivotButton="0" quotePrefix="0" xfId="0">
      <alignment horizontal="right" vertical="center"/>
    </xf>
    <xf numFmtId="168" fontId="6" fillId="0" borderId="1" applyAlignment="1" pivotButton="0" quotePrefix="0" xfId="0">
      <alignment horizontal="right" vertical="center"/>
    </xf>
    <xf numFmtId="10" fontId="6" fillId="5" borderId="1" applyAlignment="1" pivotButton="0" quotePrefix="0" xfId="0">
      <alignment horizontal="right" vertical="center"/>
    </xf>
    <xf numFmtId="10" fontId="6" fillId="0" borderId="1" applyAlignment="1" pivotButton="0" quotePrefix="0" xfId="0">
      <alignment horizontal="right" vertical="center"/>
    </xf>
    <xf numFmtId="164" fontId="5" fillId="0" borderId="1" applyAlignment="1" pivotButton="0" quotePrefix="0" xfId="0">
      <alignment horizontal="right" vertical="center"/>
    </xf>
    <xf numFmtId="168" fontId="6" fillId="5" borderId="1" applyAlignment="1" pivotButton="0" quotePrefix="0" xfId="0">
      <alignment horizontal="right" vertical="center"/>
    </xf>
    <xf numFmtId="168" fontId="6" fillId="7" borderId="1" applyAlignment="1" pivotButton="0" quotePrefix="0" xfId="0">
      <alignment horizontal="right" vertical="center"/>
    </xf>
    <xf numFmtId="0" fontId="8" fillId="0" borderId="1" pivotButton="0" quotePrefix="0" xfId="0"/>
    <xf numFmtId="0" fontId="2" fillId="6" borderId="0" pivotButton="0" quotePrefix="0" xfId="0"/>
    <xf numFmtId="0" fontId="3" fillId="2" borderId="0" applyAlignment="1" pivotButton="0" quotePrefix="0" xfId="0">
      <alignment horizontal="center" vertical="center" wrapText="1"/>
    </xf>
    <xf numFmtId="0" fontId="6" fillId="6" borderId="1" applyAlignment="1" pivotButton="0" quotePrefix="0" xfId="0">
      <alignment horizontal="center" vertical="center"/>
    </xf>
    <xf numFmtId="0" fontId="6" fillId="6" borderId="1" applyAlignment="1" pivotButton="0" quotePrefix="0" xfId="0">
      <alignment horizontal="left" vertical="center"/>
    </xf>
    <xf numFmtId="164" fontId="6" fillId="6" borderId="1" applyAlignment="1" pivotButton="0" quotePrefix="0" xfId="0">
      <alignment horizontal="right" vertical="center"/>
    </xf>
    <xf numFmtId="10" fontId="6" fillId="6" borderId="1" applyAlignment="1" pivotButton="0" quotePrefix="0" xfId="0">
      <alignment horizontal="right" vertical="center"/>
    </xf>
    <xf numFmtId="168" fontId="6" fillId="6" borderId="1" applyAlignment="1" pivotButton="0" quotePrefix="0" xfId="0">
      <alignment horizontal="right"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168" fontId="5" fillId="0" borderId="1" applyAlignment="1" pivotButton="0" quotePrefix="0" xfId="0">
      <alignment horizontal="right" vertical="center"/>
    </xf>
    <xf numFmtId="0" fontId="6" fillId="5" borderId="2" applyAlignment="1" pivotButton="0" quotePrefix="0" xfId="0">
      <alignment horizontal="center" vertical="center"/>
    </xf>
    <xf numFmtId="0" fontId="6" fillId="5" borderId="2" applyAlignment="1" pivotButton="0" quotePrefix="0" xfId="0">
      <alignment horizontal="left" vertical="center"/>
    </xf>
    <xf numFmtId="164" fontId="6" fillId="5" borderId="2" applyAlignment="1" pivotButton="0" quotePrefix="0" xfId="0">
      <alignment horizontal="right" vertical="center"/>
    </xf>
    <xf numFmtId="10" fontId="6" fillId="5" borderId="2" applyAlignment="1" pivotButton="0" quotePrefix="0" xfId="0">
      <alignment horizontal="right" vertical="center"/>
    </xf>
    <xf numFmtId="168" fontId="6" fillId="5" borderId="2"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0" fontId="6" fillId="8" borderId="1" applyAlignment="1" pivotButton="0" quotePrefix="0" xfId="0">
      <alignment horizontal="center" vertical="center"/>
    </xf>
    <xf numFmtId="0" fontId="6" fillId="8" borderId="1" applyAlignment="1" pivotButton="0" quotePrefix="0" xfId="0">
      <alignment horizontal="left" vertical="center"/>
    </xf>
    <xf numFmtId="164" fontId="6" fillId="8" borderId="1" applyAlignment="1" pivotButton="0" quotePrefix="0" xfId="0">
      <alignment horizontal="right" vertical="center"/>
    </xf>
    <xf numFmtId="10" fontId="6" fillId="8" borderId="1" applyAlignment="1" pivotButton="0" quotePrefix="0" xfId="0">
      <alignment horizontal="right" vertical="center"/>
    </xf>
    <xf numFmtId="168" fontId="6" fillId="8" borderId="1" applyAlignment="1" pivotButton="0" quotePrefix="0" xfId="0">
      <alignment horizontal="right" vertical="center"/>
    </xf>
    <xf numFmtId="0" fontId="6" fillId="6" borderId="3" applyAlignment="1" pivotButton="0" quotePrefix="0" xfId="0">
      <alignment horizontal="center" vertical="center"/>
    </xf>
    <xf numFmtId="0" fontId="6" fillId="6" borderId="3" applyAlignment="1" pivotButton="0" quotePrefix="0" xfId="0">
      <alignment horizontal="left" vertical="center"/>
    </xf>
    <xf numFmtId="1" fontId="6" fillId="6" borderId="3" applyAlignment="1" pivotButton="0" quotePrefix="0" xfId="0">
      <alignment horizontal="right" vertical="center"/>
    </xf>
    <xf numFmtId="0" fontId="0" fillId="0" borderId="1" pivotButton="0" quotePrefix="0" xfId="0"/>
    <xf numFmtId="0" fontId="3" fillId="2" borderId="0" applyAlignment="1" pivotButton="0" quotePrefix="0" xfId="0">
      <alignment horizontal="right" vertical="center"/>
    </xf>
    <xf numFmtId="0" fontId="5" fillId="0" borderId="1" applyAlignment="1" pivotButton="0" quotePrefix="0" xfId="0">
      <alignment horizontal="right" vertical="center"/>
    </xf>
    <xf numFmtId="0" fontId="9" fillId="5" borderId="1" applyAlignment="1" pivotButton="0" quotePrefix="0" xfId="0">
      <alignment horizontal="center" vertical="center"/>
    </xf>
    <xf numFmtId="0" fontId="2" fillId="0" borderId="1" applyAlignment="1" pivotButton="0" quotePrefix="0" xfId="0">
      <alignment horizontal="center" vertical="center"/>
    </xf>
    <xf numFmtId="164" fontId="0" fillId="0" borderId="1" applyAlignment="1" pivotButton="0" quotePrefix="0" xfId="0">
      <alignment horizontal="right" vertical="center"/>
    </xf>
    <xf numFmtId="164" fontId="0" fillId="0" borderId="2" applyAlignment="1" pivotButton="0" quotePrefix="0" xfId="0">
      <alignment horizontal="right" vertical="center"/>
    </xf>
    <xf numFmtId="10" fontId="9" fillId="5" borderId="3" applyAlignment="1" pivotButton="0" quotePrefix="0" xfId="0">
      <alignment horizontal="right" vertical="center"/>
    </xf>
    <xf numFmtId="10" fontId="6" fillId="4" borderId="3" applyAlignment="1" pivotButton="0" quotePrefix="0" xfId="0">
      <alignment horizontal="right" vertical="center"/>
    </xf>
    <xf numFmtId="10" fontId="10" fillId="7" borderId="3" applyAlignment="1" pivotButton="0" quotePrefix="0" xfId="0">
      <alignment horizontal="right" vertical="center"/>
    </xf>
    <xf numFmtId="0" fontId="10" fillId="7" borderId="1" applyAlignment="1" pivotButton="0" quotePrefix="0" xfId="0">
      <alignment horizontal="center" vertical="center"/>
    </xf>
    <xf numFmtId="10" fontId="0" fillId="0" borderId="1" applyAlignment="1" pivotButton="0" quotePrefix="0" xfId="0">
      <alignment horizontal="right" vertical="center"/>
    </xf>
    <xf numFmtId="0" fontId="0" fillId="0" borderId="1" applyAlignment="1" pivotButton="0" quotePrefix="0" xfId="0">
      <alignment horizontal="right" vertical="center"/>
    </xf>
    <xf numFmtId="10" fontId="10" fillId="7" borderId="1" applyAlignment="1" pivotButton="0" quotePrefix="0" xfId="0">
      <alignment horizontal="right" vertical="center"/>
    </xf>
    <xf numFmtId="10" fontId="9" fillId="5" borderId="1" applyAlignment="1" pivotButton="0" quotePrefix="0" xfId="0">
      <alignment horizontal="right" vertical="center"/>
    </xf>
    <xf numFmtId="169" fontId="0" fillId="0" borderId="1" applyAlignment="1" pivotButton="0" quotePrefix="0" xfId="0">
      <alignment horizontal="right" vertical="center"/>
    </xf>
    <xf numFmtId="170" fontId="0" fillId="0" borderId="1" applyAlignment="1" pivotButton="0" quotePrefix="0" xfId="0">
      <alignment horizontal="right" vertical="center"/>
    </xf>
    <xf numFmtId="0" fontId="2" fillId="0" borderId="1" applyAlignment="1" pivotButton="0" quotePrefix="0" xfId="0">
      <alignment horizontal="left" vertical="center"/>
    </xf>
    <xf numFmtId="0" fontId="6" fillId="0" borderId="3" pivotButton="0" quotePrefix="0" xfId="0"/>
    <xf numFmtId="0" fontId="6" fillId="0" borderId="3" applyAlignment="1" pivotButton="0" quotePrefix="0" xfId="0">
      <alignment horizontal="center" vertical="center"/>
    </xf>
    <xf numFmtId="0" fontId="6" fillId="8" borderId="3" applyAlignment="1" pivotButton="0" quotePrefix="0" xfId="0">
      <alignment horizontal="center" vertical="center"/>
    </xf>
    <xf numFmtId="0" fontId="9" fillId="5" borderId="3" applyAlignment="1" pivotButton="0" quotePrefix="0" xfId="0">
      <alignment horizontal="center" vertical="center"/>
    </xf>
    <xf numFmtId="0" fontId="10" fillId="7" borderId="3" applyAlignment="1" pivotButton="0" quotePrefix="0" xfId="0">
      <alignment horizontal="center" vertical="center"/>
    </xf>
    <xf numFmtId="0" fontId="2" fillId="0" borderId="0" applyAlignment="1" pivotButton="0" quotePrefix="0" xfId="0">
      <alignment horizontal="left" vertical="center" wrapText="1"/>
    </xf>
    <xf numFmtId="168" fontId="0" fillId="0" borderId="1" applyAlignment="1" pivotButton="0" quotePrefix="0" xfId="0">
      <alignment horizontal="right" vertical="center"/>
    </xf>
    <xf numFmtId="168" fontId="10" fillId="7" borderId="1" applyAlignment="1" pivotButton="0" quotePrefix="0" xfId="0">
      <alignment horizontal="right" vertical="center"/>
    </xf>
    <xf numFmtId="168" fontId="9" fillId="5" borderId="1" applyAlignment="1" pivotButton="0" quotePrefix="0" xfId="0">
      <alignment horizontal="right" vertical="center"/>
    </xf>
    <xf numFmtId="0" fontId="6" fillId="0" borderId="1" applyAlignment="1" pivotButton="0" quotePrefix="0" xfId="0">
      <alignment horizontal="left" vertical="center" wrapText="1"/>
    </xf>
    <xf numFmtId="0" fontId="2" fillId="0" borderId="2" pivotButton="0" quotePrefix="0" xfId="0"/>
    <xf numFmtId="0" fontId="2" fillId="0" borderId="2" applyAlignment="1" pivotButton="0" quotePrefix="0" xfId="0">
      <alignment horizontal="center" vertical="center"/>
    </xf>
    <xf numFmtId="164" fontId="6" fillId="0" borderId="2" applyAlignment="1" pivotButton="0" quotePrefix="0" xfId="0">
      <alignment horizontal="right" vertical="center"/>
    </xf>
    <xf numFmtId="0" fontId="2" fillId="0" borderId="3" pivotButton="0" quotePrefix="0" xfId="0"/>
    <xf numFmtId="0" fontId="2" fillId="0" borderId="3" applyAlignment="1" pivotButton="0" quotePrefix="0" xfId="0">
      <alignment horizontal="center" vertical="center"/>
    </xf>
    <xf numFmtId="0" fontId="9" fillId="5" borderId="2" applyAlignment="1" pivotButton="0" quotePrefix="0" xfId="0">
      <alignment horizontal="center" vertical="center"/>
    </xf>
    <xf numFmtId="167" fontId="6" fillId="0" borderId="2" applyAlignment="1" pivotButton="0" quotePrefix="0" xfId="0">
      <alignment horizontal="right" vertical="center"/>
    </xf>
    <xf numFmtId="167" fontId="6" fillId="0" borderId="3" applyAlignment="1" pivotButton="0" quotePrefix="0" xfId="0">
      <alignment horizontal="right" vertical="center"/>
    </xf>
    <xf numFmtId="10" fontId="6" fillId="0" borderId="3" applyAlignment="1" pivotButton="0" quotePrefix="0" xfId="0">
      <alignment horizontal="right" vertical="center"/>
    </xf>
    <xf numFmtId="171" fontId="5" fillId="0" borderId="1" applyAlignment="1" pivotButton="0" quotePrefix="0" xfId="0">
      <alignment horizontal="right" vertical="center"/>
    </xf>
    <xf numFmtId="2" fontId="6" fillId="0" borderId="3" applyAlignment="1" pivotButton="0" quotePrefix="0" xfId="0">
      <alignment horizontal="right" vertical="center"/>
    </xf>
    <xf numFmtId="0" fontId="9" fillId="5" borderId="1" applyAlignment="1" pivotButton="0" quotePrefix="0" xfId="0">
      <alignment horizontal="center" vertical="center"/>
    </xf>
    <xf numFmtId="0" fontId="10" fillId="7" borderId="1" applyAlignment="1" pivotButton="0" quotePrefix="0" xfId="0">
      <alignment horizontal="center" vertical="center"/>
    </xf>
    <xf numFmtId="0" fontId="2" fillId="4" borderId="1" applyAlignment="1" pivotButton="0" quotePrefix="0" xfId="0">
      <alignment horizontal="left" vertical="center" wrapText="1"/>
    </xf>
    <xf numFmtId="167" fontId="0" fillId="0" borderId="1" applyAlignment="1" pivotButton="0" quotePrefix="0" xfId="0">
      <alignment horizontal="right" vertical="center"/>
    </xf>
    <xf numFmtId="167" fontId="9" fillId="5" borderId="2" applyAlignment="1" pivotButton="0" quotePrefix="0" xfId="0">
      <alignment horizontal="right" vertical="center"/>
    </xf>
    <xf numFmtId="167" fontId="6" fillId="8" borderId="2" applyAlignment="1" pivotButton="0" quotePrefix="0" xfId="0">
      <alignment horizontal="right" vertical="center"/>
    </xf>
    <xf numFmtId="0" fontId="9" fillId="5" borderId="1" applyAlignment="1" pivotButton="0" quotePrefix="0" xfId="0">
      <alignment horizontal="center" vertical="center"/>
    </xf>
    <xf numFmtId="0" fontId="10" fillId="7" borderId="1" applyAlignment="1" pivotButton="0" quotePrefix="0" xfId="0">
      <alignment horizontal="center" vertical="center"/>
    </xf>
    <xf numFmtId="0" fontId="9" fillId="5" borderId="1" applyAlignment="1" pivotButton="0" quotePrefix="0" xfId="0">
      <alignment horizontal="center" vertical="center"/>
    </xf>
    <xf numFmtId="0" fontId="10" fillId="7" borderId="1" applyAlignment="1" pivotButton="0" quotePrefix="0" xfId="0">
      <alignment horizontal="center" vertical="center"/>
    </xf>
    <xf numFmtId="0" fontId="9" fillId="5" borderId="1" applyAlignment="1" pivotButton="0" quotePrefix="0" xfId="0">
      <alignment horizontal="center" vertical="center"/>
    </xf>
    <xf numFmtId="0" fontId="10" fillId="7" borderId="1" applyAlignment="1" pivotButton="0" quotePrefix="0" xfId="0">
      <alignment horizontal="center" vertical="center"/>
    </xf>
    <xf numFmtId="0" fontId="9" fillId="5" borderId="1" applyAlignment="1" pivotButton="0" quotePrefix="0" xfId="0">
      <alignment horizontal="center" vertical="center"/>
    </xf>
    <xf numFmtId="0" fontId="10"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Glosario Financiero SEC</author>
  </authors>
  <commentList>
    <comment ref="A6" authorId="0" shapeId="0">
      <text>
        <t>Margen Bruto = (Ingresos - Coste de Ventas) / Ingresos
Mide el porcentaje de ventas que la empresa retiene tras cubrir los costes directos de fabricación. Una expansión sostenida indica poder de fijación de precios y ventajas competitivas (Moat).</t>
      </text>
    </comment>
    <comment ref="A7" authorId="0" shapeId="0">
      <text>
        <t>Margen Operativo = Beneficio Operativo (EBIT) / Ingresos
Mide la rentabilidad de las operaciones principales tras absorber gastos de I+D y comerciales (SG&amp;A).</t>
      </text>
    </comment>
    <comment ref="A8" authorId="0" shapeId="0">
      <text>
        <t>Margen Neto = Beneficio Neto (Net Income) / Ingresos
Porcentaje final de ingresos que se traduce en ganancias netas disponibles para los accionistas.</t>
      </text>
    </comment>
    <comment ref="A9" authorId="0" shapeId="0">
      <text>
        <t>Margen FCF = Flujo de Caja Libre / Ingresos
Porcentaje de ingresos convertido directamente en caja líquida libre tras pagar inversiones de capital (CapEx).</t>
      </text>
    </comment>
    <comment ref="A10" authorId="0" shapeId="0">
      <text>
        <t>Tasa de Conversión = Free Cash Flow / Net Income
Mide la calidad contable de los beneficios. Si es superior a 100%, indica que las ganancias contables están más que respaldadas por efectivo real generado.</t>
      </text>
    </comment>
    <comment ref="A13" authorId="0" shapeId="0">
      <text>
        <t>ROE = Beneficio Neto / Promedio de Patrimonio Neto ((t + t-1) / 2)
Rentabilidad obtenida sobre los fondos propios medios del ejercicio.
El uso de patrimonio promedio mitiga distorsiones provocadas por recompras masivas de acciones o variaciones puntuales al cierre (Estándar institucional FactSet/Bloomberg).</t>
      </text>
    </comment>
    <comment ref="A14" authorId="0" shapeId="0">
      <text>
        <t>ROA = Beneficio Neto / Promedio de Activos Totales ((t + t-1) / 2)
Mide la eficiencia con la que la gerencia utiliza los activos medios operativos del ejercicio para generar beneficios netos.
Cumple con el principio contable de correspondencia temporal (Matching Principle), evitando castigar a empresas en fuerte crecimiento orgánico.</t>
      </text>
    </comment>
    <comment ref="A15" authorId="0" shapeId="0">
      <text>
        <t>ROC Greenblatt (Magic Formula) = EBIT / Capital Tangible Operativo Promedio
Mide la rentabilidad y productividad económica pura del negocio sobre los activos físicos y operativos requeridos para operar.
Excluye deuda, impuestos e intangibles capitalizados. Denominador = Promedio de (Capital de Trabajo Neto Operativo + PP&amp;E Neto).
Detección en Balances SEC:
• Numerador: Operating Income del Estado de Resultados (10-K / 10-Q).
• Activos Op.: Total Current Assets menos Efectivo y Valores Negociables.
• Pasivos Op.: Total Current Liabilities menos Commercial Paper y Deuda CP.
• PP&amp;E Neto: Property, plant and equipment, net del Balance.
• Salvaguarda: Si NWC &lt; 0, Capital Tangible se acota al PP&amp;E Neto.</t>
      </text>
    </comment>
    <comment ref="A18" authorId="0" shapeId="0">
      <text>
        <t>Current Ratio = Activo Corriente / Pasivo Corriente
Mide la solvencia de corto plazo (&lt; 1 año). Un valor &gt; 1.0x indica que los activos líquidos cubren las deudas inmediatas.</t>
      </text>
    </comment>
    <comment ref="A19" authorId="0" shapeId="0">
      <text>
        <t>Debt to Equity = Deuda Financiera Total / Patrimonio Neto
Mide el grado de apalancamiento financiero y la dependencia de acreedores frente al capital propio.</t>
      </text>
    </comment>
    <comment ref="A22" authorId="0" shapeId="0">
      <text>
        <t>Gross Profitability (Novy-Marx) = Utilidad Bruta / Activos Totales
Mide la productividad económica pura del capital instalado. Libre de distorsiones por gastos financieros, impuestos, amortizaciones contables o gastos corporativos. Factor clave de Quality Investing (Novy-Marx 2013 / Fama-French RMW).</t>
      </text>
    </comment>
    <comment ref="A23" authorId="0" shapeId="0">
      <text>
        <t>Gross Profitability Operativa = Utilidad Bruta / (Activos Totales - Caja y Equivalentes)
Aísla el efecto de la tesorería ociosa, evaluando el retorno generado exclusivamente sobre los activos que operan activamente en el negocio.</t>
      </text>
    </comment>
    <comment ref="A24" authorId="0" shapeId="0">
      <text>
        <t>Cash Drag = Gross Profitability Operativa - Gross Profitability Total
Mide en puntos porcentuales cuánto diluye la caja acumulada la rentabilidad nominal sobre activos. Un valor elevado revela una tesorería masiva que esconde la verdadera potencia productiva del negocio.</t>
      </text>
    </comment>
    <comment ref="A25" authorId="0" shapeId="0">
      <text>
        <t>Margen Bruto = Utilidad Bruta / Ingresos
Componente de margen en la descomposición DuPont de Novy-Marx. Evalúa pricing power y moat de marca.</t>
      </text>
    </comment>
    <comment ref="A26" authorId="0" shapeId="0">
      <text>
        <t>Rotación de Activos = Ingresos / Activos Totales
Componente de velocidad en DuPont. Mide cuántas veces al año la empresa convierte sus activos en ventas.</t>
      </text>
    </comment>
    <comment ref="A27" authorId="0" shapeId="0">
      <text>
        <t>Rotación Operativa = Ingresos / (Activos Totales - Caja)
Velocidad de facturación generada por cada dólar de activo operativo directo.</t>
      </text>
    </comment>
    <comment ref="A30" authorId="0" shapeId="0">
      <text>
        <t>ROIC Tradicional = NOPAT / Capital Invertido Promedio en Libros ((t + t-1) / 2)
Mide el retorno sobre activos tangibles registrados calculados sobre capital medio.
Tiende a estar artificialmente inflado en empresas de tecnología o marca masiva porque I+D y Publicidad se expulsan a gastos corrientes.</t>
      </text>
    </comment>
    <comment ref="A31" authorId="0" shapeId="0">
      <text>
        <t>ROIC Ajustado = NOPAT Ajustado / Capital Invertido Promedio Reconstituido ((t + t-1) / 2)
Metodología Damodaran/Mauboussin. Capitaliza I+D y Marketing amortizándolos económicamente.
Calculado sobre el Capital Invertido Promedio para garantizar la estricta correspondencia temporal con el NOPAT del ejercicio.</t>
      </text>
    </comment>
    <comment ref="A32" authorId="0" shapeId="0">
      <text>
        <t>Valor neto acumulado en balance de los gastos de I+D y Marca tras aplicar amortización lineal de N años.</t>
      </text>
    </comment>
    <comment ref="A33" authorId="0" shapeId="0">
      <text>
        <t>Capital Invertido Total Promedio = Promedio de (Activos Operativos + Stock Neto de Intangibles Capitalizados) ((t + t-1) / 2).</t>
      </text>
    </comment>
    <comment ref="A34" authorId="0" shapeId="0">
      <text>
        <t>WACC = (We * Ke) + (Wd * Kd * (1 - t))
Tasa de corte mínima exigida por accionistas y acreedores a valor de mercado.</t>
      </text>
    </comment>
    <comment ref="A35" authorId="0" shapeId="0">
      <text>
        <t>Spread Económico = ROIC Ajustado - WACC (puntos porcentuales)
Si es &gt; 0, crea valor económico neto (EVA). Si es &gt; +15%, califica como Foso Defensivo Excepcional (Wide Moat).</t>
      </text>
    </comment>
  </commentList>
</comments>
</file>

<file path=xl/comments/comment2.xml><?xml version="1.0" encoding="utf-8"?>
<comments xmlns="http://schemas.openxmlformats.org/spreadsheetml/2006/main">
  <authors>
    <author>Auditoría Fundamental SEC</author>
  </authors>
  <commentList>
    <comment ref="A8" authorId="0" shapeId="0">
      <text>
        <t>CRITERIO PIOTROSKI F-SCORE: ROA Positivo
• Categoría: Rentabilidad
• Regla Oficial: Net Income / Activos t-1 &gt; 0
• Lógica Contable: Utilidad neta positiva sobre la base de activos instalados.
• Fuente Oficial: SEC EDGAR Form 10-K / 10-Q XBRL</t>
      </text>
    </comment>
    <comment ref="A9" authorId="0" shapeId="0">
      <text>
        <t>CRITERIO PIOTROSKI F-SCORE: CFO Positivo
• Categoría: Rentabilidad
• Regla Oficial: Operating Cash Flow &gt; 0
• Lógica Contable: Flujo de caja operativo neto positivo.
• Fuente Oficial: SEC EDGAR Form 10-K / 10-Q XBRL</t>
      </text>
    </comment>
    <comment ref="A10" authorId="0" shapeId="0">
      <text>
        <t>CRITERIO PIOTROSKI F-SCORE: Mejora Interanual de ROA
• Categoría: Rentabilidad
• Regla Oficial: Delta ROA &gt; 0%
• Lógica Contable: Aceleración de la rentabilidad sobre activos frente al año previo.
• Fuente Oficial: SEC EDGAR Form 10-K / 10-Q XBRL</t>
      </text>
    </comment>
    <comment ref="A11" authorId="0" shapeId="0">
      <text>
        <t>CRITERIO PIOTROSKI F-SCORE: Calidad Contable de Sloan
• Categoría: Rentabilidad
• Regla Oficial: CFO &gt; Net Income
• Lógica Contable: Beneficios respaldados por efectivo contante (bajos devengos contables).
• Fuente Oficial: SEC EDGAR Form 10-K / 10-Q XBRL</t>
      </text>
    </comment>
    <comment ref="A12" authorId="0" shapeId="0">
      <text>
        <t>CRITERIO PIOTROSKI F-SCORE: Desendeudamiento Financiero Total
• Categoría: Apalancamiento
• Regla Oficial: Delta Deuda Total &lt;= 0%
• Lógica Contable: Reducción o estabilidad del apalancamiento financiero total sobre activos.
• Fuente Oficial: SEC EDGAR Form 10-K / 10-Q XBRL</t>
      </text>
    </comment>
    <comment ref="A13" authorId="0" shapeId="0">
      <text>
        <t>CRITERIO PIOTROSKI F-SCORE: Mejora de Razón Corriente
• Categoría: Liquidez
• Regla Oficial: Delta Current Ratio &gt; 0x
• Lógica Contable: Mayor cobertura de pasivos a corto plazo con activos corrientes.
• Fuente Oficial: SEC EDGAR Form 10-K / 10-Q XBRL</t>
      </text>
    </comment>
    <comment ref="A14" authorId="0" shapeId="0">
      <text>
        <t>CRITERIO PIOTROSKI F-SCORE: Cero Dilución (Acciones Básicas)
• Categoría: Capital
• Regla Oficial: Delta Acciones Básicas &lt;= 0
• Lógica Contable: Sin emisión neta dilutiva de capital; recompra de acciones o estabilidad.
• Fuente Oficial: SEC EDGAR Form 10-K / 10-Q XBRL</t>
      </text>
    </comment>
    <comment ref="A15" authorId="0" shapeId="0">
      <text>
        <t>CRITERIO PIOTROSKI F-SCORE: Expansión de Margen Bruto
• Categoría: Eficiencia
• Regla Oficial: Delta Margen Bruto &gt; 0%
• Lógica Contable: Mayor poder de fijación de precios o menor coste unitario de ventas.
• Fuente Oficial: SEC EDGAR Form 10-K / 10-Q XBRL</t>
      </text>
    </comment>
    <comment ref="A16" authorId="0" shapeId="0">
      <text>
        <t>CRITERIO PIOTROSKI F-SCORE: Expansión Rotación Activos
• Categoría: Eficiencia
• Regla Oficial: Delta Rotación Activos &gt; 0x
• Lógica Contable: Mayor volumen de ingresos generado por cada dólar de activo instalado.
• Fuente Oficial: SEC EDGAR Form 10-K / 10-Q XBRL</t>
      </text>
    </comment>
    <comment ref="D17" authorId="0" shapeId="0">
      <text>
        <t>TOTAL PIOTROSKI F-SCORE (LTM)
• Puntuación: 6 de 9 Puntos
• Clasificación: SALUD SÓLIDA
• Escala Institucional:
  - 8-9 Pts: Fortaleza Financiera Sobresaliente
  - 5-7 Pts: Situación Estable
  - 0-4 Pts: Fragilidad / Alerta Financiera</t>
      </text>
    </comment>
    <comment ref="E17" authorId="0" shapeId="0">
      <text>
        <t>TOTAL PIOTROSKI F-SCORE (FY2026)
• Puntuación: 5 de 9 Puntos
• Clasificación: SALUD MODERADA
• Escala Institucional:
  - 8-9 Pts: Fortaleza Financiera Sobresaliente
  - 5-7 Pts: Situación Estable
  - 0-4 Pts: Fragilidad / Alerta Financiera</t>
      </text>
    </comment>
    <comment ref="F17" authorId="0" shapeId="0">
      <text>
        <t>TOTAL PIOTROSKI F-SCORE (FY2025)
• Puntuación: 7 de 9 Puntos
• Clasificación: SALUD SÓLIDA
• Escala Institucional:
  - 8-9 Pts: Fortaleza Financiera Sobresaliente
  - 5-7 Pts: Situación Estable
  - 0-4 Pts: Fragilidad / Alerta Financiera</t>
      </text>
    </comment>
    <comment ref="G17" authorId="0" shapeId="0">
      <text>
        <t>TOTAL PIOTROSKI F-SCORE (FY2024)
• Puntuación: 8 de 9 Puntos
• Clasificación: SALUD EXCEPCIONAL
• Escala Institucional:
  - 8-9 Pts: Fortaleza Financiera Sobresaliente
  - 5-7 Pts: Situación Estable
  - 0-4 Pts: Fragilidad / Alerta Financiera</t>
      </text>
    </comment>
    <comment ref="H17" authorId="0" shapeId="0">
      <text>
        <t>TOTAL PIOTROSKI F-SCORE (FY2023)
• Puntuación: 8 de 9 Puntos
• Clasificación: SALUD EXCEPCIONAL
• Escala Institucional:
  - 8-9 Pts: Fortaleza Financiera Sobresaliente
  - 5-7 Pts: Situación Estable
  - 0-4 Pts: Fragilidad / Alerta Financiera</t>
      </text>
    </comment>
    <comment ref="I17" authorId="0" shapeId="0">
      <text>
        <t>TOTAL PIOTROSKI F-SCORE (FY2022)
• Puntuación: 5 de 9 Puntos
• Clasificación: SALUD MODERADA
• Escala Institucional:
  - 8-9 Pts: Fortaleza Financiera Sobresaliente
  - 5-7 Pts: Situación Estable
  - 0-4 Pts: Fragilidad / Alerta Financiera</t>
      </text>
    </comment>
    <comment ref="J17" authorId="0" shapeId="0">
      <text>
        <t>TOTAL PIOTROSKI F-SCORE (FY2021)
• Puntuación: 7 de 9 Puntos
• Clasificación: SALUD SÓLIDA
• Escala Institucional:
  - 8-9 Pts: Fortaleza Financiera Sobresaliente
  - 5-7 Pts: Situación Estable
  - 0-4 Pts: Fragilidad / Alerta Financiera</t>
      </text>
    </comment>
    <comment ref="K17" authorId="0" shapeId="0">
      <text>
        <t>TOTAL PIOTROSKI F-SCORE (FY2020)
• Puntuación: 6 de 9 Puntos
• Clasificación: SALUD SÓLIDA
• Escala Institucional:
  - 8-9 Pts: Fortaleza Financiera Sobresaliente
  - 5-7 Pts: Situación Estable
  - 0-4 Pts: Fragilidad / Alerta Financiera</t>
      </text>
    </comment>
    <comment ref="L17" authorId="0" shapeId="0">
      <text>
        <t>TOTAL PIOTROSKI F-SCORE (FY2019)
• Puntuación: 8 de 9 Puntos
• Clasificación: SALUD EXCEPCIONAL
• Escala Institucional:
  - 8-9 Pts: Fortaleza Financiera Sobresaliente
  - 5-7 Pts: Situación Estable
  - 0-4 Pts: Fragilidad / Alerta Financiera</t>
      </text>
    </comment>
    <comment ref="M17" authorId="0" shapeId="0">
      <text>
        <t>TOTAL PIOTROSKI F-SCORE (FY2018)
• Puntuación: 8 de 9 Puntos
• Clasificación: SALUD EXCEPCIONAL
• Escala Institucional:
  - 8-9 Pts: Fortaleza Financiera Sobresaliente
  - 5-7 Pts: Situación Estable
  - 0-4 Pts: Fragilidad / Alerta Financiera</t>
      </text>
    </comment>
    <comment ref="N17" authorId="0" shapeId="0">
      <text>
        <t>TOTAL PIOTROSKI F-SCORE (FY2017)
• Puntuación: 2 de 9 Puntos
• Clasificación: VULNERABILIDAD FINANCIERA
• Escala Institucional:
  - 8-9 Pts: Fortaleza Financiera Sobresaliente
  - 5-7 Pts: Situación Estable
  - 0-4 Pts: Fragilidad / Alerta Financiera</t>
      </text>
    </comment>
    <comment ref="A22" authorId="0" shapeId="0">
      <text>
        <t>CRITERIO MOHANRAM G-SCORE: ROA &gt; Mediana del Sector
• Categoría: Rentabilidad
• Benchmark Sectorial Oficial: &gt; Mediana Sector (8.09%)
• Lógica Contable: Rentabilidad sobre activos superior a la mitad del sector.
• Fuente: SEC EDGAR &amp; Mediana del Sector SIC 3021 (Hoja 8: 'Peer Group &amp; Medianas')</t>
      </text>
    </comment>
    <comment ref="A23" authorId="0" shapeId="0">
      <text>
        <t>CRITERIO MOHANRAM G-SCORE: CFROA &gt; Mediana del Sector
• Categoría: Flujo de Caja
• Benchmark Sectorial Oficial: &gt; Mediana Sector (8.47%)
• Lógica Contable: Generación de caja operativa sobre activos líder en la industria.
• Fuente: SEC EDGAR &amp; Mediana del Sector SIC 3021 (Hoja 8: 'Peer Group &amp; Medianas')</t>
      </text>
    </comment>
    <comment ref="A24" authorId="0" shapeId="0">
      <text>
        <t>CRITERIO MOHANRAM G-SCORE: Calidad Contable (CFO &gt; NI)
• Categoría: Devengos
• Benchmark Sectorial Oficial: CFO &gt; Utilidad Neta
• Lógica Contable: Flujo de caja operativo superior a las ganancias devengadas.
• Fuente: SEC EDGAR &amp; Mediana del Sector SIC 3021 (Hoja 8: 'Peer Group &amp; Medianas')</t>
      </text>
    </comment>
    <comment ref="A25" authorId="0" shapeId="0">
      <text>
        <t>CRITERIO MOHANRAM G-SCORE: Estabilidad / Nivel Superior de ROA
• Categoría: Predictibilidad
• Benchmark Sectorial Oficial: CV &lt; 0.35 o ROA &gt;= P75 (9.76%)
• Lógica Contable: Baja volatilidad en rentabilidad o nivel de retorno permanentemente en percentil 75 superior.
• Fuente: SEC EDGAR &amp; Mediana del Sector SIC 3021 (Hoja 8: 'Peer Group &amp; Medianas')</t>
      </text>
    </comment>
    <comment ref="A26" authorId="0" shapeId="0">
      <text>
        <t>CRITERIO MOHANRAM G-SCORE: Estabilidad / Hipercrecimiento
• Categoría: Predictibilidad
• Benchmark Sectorial Oficial: CV &lt; 0.40 o g &gt;= 20%
• Lógica Contable: Trayectoria predecible de ingresos o expansión acelerada superior al 20% anual.
• Fuente: SEC EDGAR &amp; Mediana del Sector SIC 3021 (Hoja 8: 'Peer Group &amp; Medianas')</t>
      </text>
    </comment>
    <comment ref="A27" authorId="0" shapeId="0">
      <text>
        <t>CRITERIO MOHANRAM G-SCORE: Intensidad en I+D vs Sector
• Categoría: Intangibles
• Benchmark Sectorial Oficial: R&amp;D / Activos &gt; 0.00%
• Lógica Contable: Reinversión en investigación y desarrollo para fortalecer ventajas competitivas (moats).
• Fuente: SEC EDGAR &amp; Mediana del Sector SIC 3021 (Hoja 8: 'Peer Group &amp; Medianas')</t>
      </text>
    </comment>
    <comment ref="A28" authorId="0" shapeId="0">
      <text>
        <t>CRITERIO MOHANRAM G-SCORE: Inversión de Capital / Asset-Light
• Categoría: Inversión
• Benchmark Sectorial Oficial: Reinversión &gt; 2.23%
• Lógica Contable: Tasa de Inversión Total en Crecimiento (I+D + CapEx) para modelos ligeros en activos.
• Fuente: SEC EDGAR &amp; Mediana del Sector SIC 3021 (Hoja 8: 'Peer Group &amp; Medianas')</t>
      </text>
    </comment>
    <comment ref="A29" authorId="0" shapeId="0">
      <text>
        <t>CRITERIO MOHANRAM G-SCORE: Apalancamiento Comercial (SG&amp;A)
• Categoría: Eficiencia
• Benchmark Sectorial Oficial: % Delta Ventas &gt; % Delta SG&amp;A
• Lógica Contable: Eficiencia comercial: ingresos escalan con mayor dinamismo que los gastos administrativos y de ventas.
• Fuente: SEC EDGAR &amp; Mediana del Sector SIC 3021 (Hoja 8: 'Peer Group &amp; Medianas')</t>
      </text>
    </comment>
    <comment ref="D30" authorId="0" shapeId="0">
      <text>
        <t>TOTAL MOHANRAM G-SCORE (LTM)
• Puntuación: 7 de 8 Puntos
• Clasificación: CRECIMIENTO DE ÉLITE
• Escala Institucional:
  - 6-8 Pts: Calidad de Crecimiento Élite (Compounder)
  - 4-5 Pts: Crecimiento Promedio / Moderado
  - 0-3 Pts: Crecimiento Frágil o Destructivo</t>
      </text>
    </comment>
    <comment ref="E30" authorId="0" shapeId="0">
      <text>
        <t>TOTAL MOHANRAM G-SCORE (FY2026)
• Puntuación: 7 de 8 Puntos
• Clasificación: CRECIMIENTO DE ÉLITE
• Escala Institucional:
  - 6-8 Pts: Calidad de Crecimiento Élite (Compounder)
  - 4-5 Pts: Crecimiento Promedio / Moderado
  - 0-3 Pts: Crecimiento Frágil o Destructivo</t>
      </text>
    </comment>
    <comment ref="F30" authorId="0" shapeId="0">
      <text>
        <t>TOTAL MOHANRAM G-SCORE (FY2025)
• Puntuación: 7 de 8 Puntos
• Clasificación: CRECIMIENTO DE ÉLITE
• Escala Institucional:
  - 6-8 Pts: Calidad de Crecimiento Élite (Compounder)
  - 4-5 Pts: Crecimiento Promedio / Moderado
  - 0-3 Pts: Crecimiento Frágil o Destructivo</t>
      </text>
    </comment>
    <comment ref="G30" authorId="0" shapeId="0">
      <text>
        <t>TOTAL MOHANRAM G-SCORE (FY2024)
• Puntuación: 7 de 8 Puntos
• Clasificación: CRECIMIENTO DE ÉLITE
• Escala Institucional:
  - 6-8 Pts: Calidad de Crecimiento Élite (Compounder)
  - 4-5 Pts: Crecimiento Promedio / Moderado
  - 0-3 Pts: Crecimiento Frágil o Destructivo</t>
      </text>
    </comment>
    <comment ref="H30" authorId="0" shapeId="0">
      <text>
        <t>TOTAL MOHANRAM G-SCORE (FY2023)
• Puntuación: 7 de 8 Puntos
• Clasificación: CRECIMIENTO DE ÉLITE
• Escala Institucional:
  - 6-8 Pts: Calidad de Crecimiento Élite (Compounder)
  - 4-5 Pts: Crecimiento Promedio / Moderado
  - 0-3 Pts: Crecimiento Frágil o Destructivo</t>
      </text>
    </comment>
    <comment ref="I30" authorId="0" shapeId="0">
      <text>
        <t>TOTAL MOHANRAM G-SCORE (FY2022)
• Puntuación: 5 de 8 Puntos
• Clasificación: CRECIMIENTO PROMEDIO
• Escala Institucional:
  - 6-8 Pts: Calidad de Crecimiento Élite (Compounder)
  - 4-5 Pts: Crecimiento Promedio / Moderado
  - 0-3 Pts: Crecimiento Frágil o Destructivo</t>
      </text>
    </comment>
    <comment ref="J30" authorId="0" shapeId="0">
      <text>
        <t>TOTAL MOHANRAM G-SCORE (FY2021)
• Puntuación: 7 de 8 Puntos
• Clasificación: CRECIMIENTO DE ÉLITE
• Escala Institucional:
  - 6-8 Pts: Calidad de Crecimiento Élite (Compounder)
  - 4-5 Pts: Crecimiento Promedio / Moderado
  - 0-3 Pts: Crecimiento Frágil o Destructivo</t>
      </text>
    </comment>
    <comment ref="K30" authorId="0" shapeId="0">
      <text>
        <t>TOTAL MOHANRAM G-SCORE (FY2020)
• Puntuación: 7 de 8 Puntos
• Clasificación: CRECIMIENTO DE ÉLITE
• Escala Institucional:
  - 6-8 Pts: Calidad de Crecimiento Élite (Compounder)
  - 4-5 Pts: Crecimiento Promedio / Moderado
  - 0-3 Pts: Crecimiento Frágil o Destructivo</t>
      </text>
    </comment>
    <comment ref="L30" authorId="0" shapeId="0">
      <text>
        <t>TOTAL MOHANRAM G-SCORE (FY2019)
• Puntuación: 8 de 8 Puntos
• Clasificación: CRECIMIENTO DE ÉLITE
• Escala Institucional:
  - 6-8 Pts: Calidad de Crecimiento Élite (Compounder)
  - 4-5 Pts: Crecimiento Promedio / Moderado
  - 0-3 Pts: Crecimiento Frágil o Destructivo</t>
      </text>
    </comment>
    <comment ref="M30" authorId="0" shapeId="0">
      <text>
        <t>TOTAL MOHANRAM G-SCORE (FY2018)
• Puntuación: 6 de 8 Puntos
• Clasificación: CRECIMIENTO DE ÉLITE
• Escala Institucional:
  - 6-8 Pts: Calidad de Crecimiento Élite (Compounder)
  - 4-5 Pts: Crecimiento Promedio / Moderado
  - 0-3 Pts: Crecimiento Frágil o Destructivo</t>
      </text>
    </comment>
    <comment ref="N30" authorId="0" shapeId="0">
      <text>
        <t>TOTAL MOHANRAM G-SCORE (FY2017)
• Puntuación: 4 de 8 Puntos
• Clasificación: CRECIMIENTO PROMEDIO
• Escala Institucional:
  - 6-8 Pts: Calidad de Crecimiento Élite (Compounder)
  - 4-5 Pts: Crecimiento Promedio / Moderado
  - 0-3 Pts: Crecimiento Frágil o Destructivo</t>
      </text>
    </comment>
  </commentList>
</comments>
</file>

<file path=xl/comments/comment3.xml><?xml version="1.0" encoding="utf-8"?>
<comments xmlns="http://schemas.openxmlformats.org/spreadsheetml/2006/main">
  <authors>
    <author>Glosario Institucional</author>
    <author>Auditoría SEC EDGAR</author>
    <author>Metodología Scoring &amp; Benchmark</author>
    <author>Estadística Sectorial</author>
    <author>Metodología Mohanram G-Score</author>
    <author>Auditoría Competitiva</author>
  </authors>
  <commentList>
    <comment ref="A6" authorId="0" shapeId="0">
      <text>
        <t>Ticker Bursátil
Símbolo de cotización en bolsas de EE.UU. (NASDAQ / NYSE).</t>
      </text>
    </comment>
    <comment ref="B6" authorId="0" shapeId="0">
      <text>
        <t>Empresa Competidora
Compañía comparable del sector de tecnología de hardware y almacenamiento (SIC 3571).</t>
      </text>
    </comment>
    <comment ref="C6" authorId="0" shapeId="0">
      <text>
        <t>Ingresos LTM ($M)
Fórmula: Total Revenue (Últimos 12 meses móviles).
Facturación bruta auditada generada por venta de productos y servicios.
Fuente: SEC Form 10-K y 10-Q.</t>
      </text>
    </comment>
    <comment ref="D6" authorId="0" shapeId="0">
      <text>
        <t>Activos Totales LTM ($M)
Fórmula: Total Assets al cierre del período LTM.
Base total de capital y recursos controlados por la entidad.
Fuente: Balance General Auditado.</t>
      </text>
    </comment>
    <comment ref="E6" authorId="0" shapeId="0">
      <text>
        <t>Gasto I+D LTM ($M)
Fórmula: Research and Development Expense LTM.
Inversión en desarrollo de nueva tecnología, software y patentes.
Fuente: Estado de Resultados.</t>
      </text>
    </comment>
    <comment ref="F6" authorId="0" shapeId="0">
      <text>
        <t>Intensidad I+D (I+D/Act)
Fórmula: =Gasto I+D / Activos Totales (Col E / Col D).
Evalúa la inversión en innovación relativa al tamaño de activos. Criterio clave del Mohanram G6.</t>
      </text>
    </comment>
    <comment ref="G6" authorId="0" shapeId="0">
      <text>
        <t>CapEx LTM ($M)
Fórmula: Payments for Property, Plant and Equipment (CapEx) LTM.
Inversiones en bienes de uso, centros de datos y equipamiento técnico.
Fuente: Flujo de Caja de Inversión.</t>
      </text>
    </comment>
    <comment ref="H6" authorId="0" shapeId="0">
      <text>
        <t>Inversión Total
Fórmula: =(I+D + CapEx) / Activos Totales ((Col E + Col G) / Col D).
Métrica consensuada para modelos Asset-Light. Tasa de reinversión total en crecimiento orgánico e intangible. Criterio Mohanram G7.</t>
      </text>
    </comment>
    <comment ref="I6" authorId="0" shapeId="0">
      <text>
        <t>Utilidad Neta LTM ($M)
Fórmula: Net Income auditada LTM.
Beneficio final neto después de impuestos, intereses y amortizaciones atribuible a los accionistas.</t>
      </text>
    </comment>
    <comment ref="J6" authorId="0" shapeId="0">
      <text>
        <t>ROA LTM (%)
Fórmula: =Utilidad Neta / Activos Totales (Col I / Col D).
Rentabilidad Económica Operativa sobre activos instalados. Criterio de rentabilidad en Piotroski F1 y Mohanram G1.</t>
      </text>
    </comment>
    <comment ref="K6" authorId="0" shapeId="0">
      <text>
        <t>Flujo Operativo CFO LTM ($M)
Fórmula: Cash Flow from Operating Activities (CFO) LTM.
Efectivo líquido generado por las operaciones comerciales ordinarias, libre de devengos contables.</t>
      </text>
    </comment>
    <comment ref="L6" authorId="0" shapeId="0">
      <text>
        <t>CFROA LTM (%)
Fórmula: =CFO / Activos Totales (Col K / Col D).
Rentabilidad de flujo de caja sobre activos instalados. Mide la verdadera capacidad de convertir activos en efectivo contante y sonante libre de distorsiones de causación. Criterio Mohanram G2.</t>
      </text>
    </comment>
    <comment ref="M6" authorId="0" shapeId="0">
      <text>
        <t>Gastos SG&amp;A LTM ($M)
Fórmula: Selling, General and Administrative Expenses LTM.
Gastos comerciales, de ventas y administración general. Base para evaluar el apalancamiento operativo en Mohanram G8.</t>
      </text>
    </comment>
    <comment ref="N6" authorId="0" shapeId="0">
      <text>
        <t>Utilidad Bruta LTM ($M)
Fórmula: Gross Profit LTM = Ingresos - Costo de Ventas.
Utilidad bruta generada directamente por las operaciones de venta.
Fuente: SEC Form 10-K y 10-Q.</t>
      </text>
    </comment>
    <comment ref="O6" authorId="0" shapeId="0">
      <text>
        <t>GP / Activos (%) [Novy-Marx]
Fórmula: =Utilidad Bruta / Activos Totales (Col N / Col D).
Rentabilidad Bruta sobre Activos de Robert Novy-Marx (2013). Mide la productividad pura del capital instalado.</t>
      </text>
    </comment>
    <comment ref="P6" authorId="0" shapeId="0">
      <text>
        <t>GP / Activos Ex-Caja (%)
Fórmula: =Utilidad Bruta / (Activos Totales - Caja).
Aísla el exceso de tesorería y evalúa la productividad sobre activos netamente operativos.</t>
      </text>
    </comment>
    <comment ref="Q6" authorId="0" shapeId="0">
      <text>
        <t>ROIC Ajustado (%)
Fórmula: ROIC Ajustado por capitalización de intangibles de innovación y marketing (Damodaran/Mauboussin).</t>
      </text>
    </comment>
    <comment ref="R6" authorId="0" shapeId="0">
      <text>
        <t>WACC (%)
Fórmula: Costo Promedio Ponderado del Capital a valores de mercado.</t>
      </text>
    </comment>
    <comment ref="S6" authorId="0" shapeId="0">
      <text>
        <t>Spread Económico (%)
Fórmula: =ROIC Ajustado - WACC (Col Q - Col R). Creación neta de valor económico sobre capital invertido.</t>
      </text>
    </comment>
    <comment ref="T6" authorId="0" shapeId="0">
      <text>
        <t>ROC Greenblatt (%)
Fórmula: ROC Greenblatt = EBIT / Capital Tangible Promedio (NWC Operativo + PP&amp;E Neto).
Mide la rentabilidad operativa sobre activos tangibles físicos y de operación requeridos por el negocio.</t>
      </text>
    </comment>
    <comment ref="A7" authorId="1" shapeId="0">
      <text>
        <t>EMPRESA OBJETIVO AUDITADA: DECKERS OUTDOOR CORP (DECK)
• Período: Cifras oficiales LTM (Últimos 12 meses móviles auditados).
• Construcción: Q3 FY2026 móvil (Acumulado 9M FY26 + FY25 - 9M FY25).
• Fuente Oficial: SEC EDGAR Form 10-Q (1 de agosto 2026) y Form 10-K FY2025.</t>
      </text>
    </comment>
    <comment ref="B7" authorId="1" shapeId="0">
      <text>
        <t>EMPRESA OBJETIVO AUDITADA: DECKERS OUTDOOR CORP (DECK)
• Período: Cifras oficiales LTM (Últimos 12 meses móviles auditados).
• Construcción: Q3 FY2026 móvil (Acumulado 9M FY26 + FY25 - 9M FY25).
• Fuente Oficial: SEC EDGAR Form 10-Q (1 de agosto 2026) y Form 10-K FY2025.</t>
      </text>
    </comment>
    <comment ref="B14" authorId="2" shapeId="0">
      <text>
        <t>Fórmula: =MEDIAN(rango)
Mediana de la muestra del sector de tecnología (SIC 3571).
Es el valor central que separa la mitad superior de la inferior (50% por encima, 50% por debajo).
Utilizado para las señales G1, G2, G6 y G7 de Mohanram y para el Industry De-meaning de Novy-Marx GP/A.</t>
      </text>
    </comment>
    <comment ref="B15" authorId="3" shapeId="0">
      <text>
        <t>Fórmula: =AVERAGE(rango)
Media aritmética simple de la muestra de empresas comparables del sector.</t>
      </text>
    </comment>
    <comment ref="B16" authorId="4" shapeId="0">
      <text>
        <t>Fórmula: =PERCENTILE(rango, 0.75)
Percentil 75 Superior de la industria SIC 3571 (delimita el 25% superior de mejor desempeño).
Cláusula Líder Mohanram: Si una empresa se sitúa en o por encima del P75 en ROA, aprueba de inmediato el Criterio G4 sin ser penalizada por volatilidad o variabilidad de retornos.</t>
      </text>
    </comment>
    <comment ref="B19" authorId="5" shapeId="0">
      <text>
        <t>Fórmula: =RANK(celda, rango)
Posición ordinal de DECK dentro del grupo de competidores analizados.
• Posición 1 = Líder absoluto de la industria en la métrica.
• Posición 7 = Menor desempeño relativo del grupo.</t>
      </text>
    </comment>
  </commentList>
</comments>
</file>

<file path=xl/comments/comment4.xml><?xml version="1.0" encoding="utf-8"?>
<comments xmlns="http://schemas.openxmlformats.org/spreadsheetml/2006/main">
  <authors>
    <author>Auditoría Forense</author>
  </authors>
  <commentList>
    <comment ref="A8" authorId="0" shapeId="0">
      <text>
        <t>El Sloan Accrual Ratio mide la proporción del beneficio contable que no proviene de efectivo operativo en relación con los activos totales promedio. Ratios &gt; +10% son señales de alarma de utilidades infladas artificialmente.</t>
      </text>
    </comment>
    <comment ref="A20" authorId="0" shapeId="0">
      <text>
        <t>Evalúa discrepancias de velocidad entre activos circulantes y la cuenta de resultados: 1) Clientes vs Ventas (Channel Stuffing), 2) Inventario vs COGS (Acumulación/Absorción indebida), 3) Activos Blandos (Capitalización de gastos).</t>
      </text>
    </comment>
    <comment ref="A51" authorId="0" shapeId="0">
      <text>
        <t>James Montier diseñó el C-Score para cuantificar la probabilidad de maquillaje en estados contables. Puntajes de 0 a 1 reflejan contabilidad limpia (&lt; 5% probabilidad de fraude); puntajes &gt;= 4 indican alto riesgo forense.</t>
      </text>
    </comment>
  </commentList>
</comments>
</file>

<file path=xl/comments/comment5.xml><?xml version="1.0" encoding="utf-8"?>
<comments xmlns="http://schemas.openxmlformats.org/spreadsheetml/2006/main">
  <authors>
    <author>Solvencia Institucional</author>
    <author>Cobertura y Carga Financiera</author>
    <author>Liquidez y Vencimientos</author>
    <author>Modelos de Insolvencia</author>
  </authors>
  <commentList>
    <comment ref="A8" authorId="0" shapeId="0">
      <text>
        <t>Evalúa cuántos años de generación bruta de efectivo (EBITDA o FCF) necesita la empresa para cancelar su deuda neta. Valores menores a 1.5x representan grado de inversión superior. Si la empresa tiene más caja que deuda, reporta Posición de Caja Neta.</t>
      </text>
    </comment>
    <comment ref="A23" authorId="1" shapeId="0">
      <text>
        <t>Mide la capacidad de la utilidad operativa (EBIT) y el flujo de caja operativo (CFO) para absorber los intereses de la deuda. Coberturas &lt; 2.5x reflejan alta vulnerabilidad ante subidas de tipos.</t>
      </text>
    </comment>
    <comment ref="A34" authorId="2" shapeId="0">
      <text>
        <t>Analiza la liquidez sin depender de la venta forzada de existencias (Quick Ratio) y la proporción de deuda que vence en menos de 12 meses (Riesgo de Refinanciación).</t>
      </text>
    </comment>
    <comment ref="A47" authorId="3" shapeId="0">
      <text>
        <t>El Altman Z''-Score (4 variables) predice la probabilidad de insolvencia a 2 años vista (Segura &gt; 2.60 | Distress &lt; 1.10). El Rating Sintético de Damodaran mapea la cobertura de intereses al rating de S&amp;P/Moody's y su probabilidad empírica de impago.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25"/>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47"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DECKERS OUTDOOR CORP (DECK) - Resumen Fundamental (10 Años + LTM)</t>
        </is>
      </c>
    </row>
    <row r="2" ht="18" customHeight="1">
      <c r="A2" s="2" t="inlineStr">
        <is>
          <t>Cifras en Millones de USD ($M), salvo acciones | Fuente: SEC EDGAR (US-GAAP Oficial)</t>
        </is>
      </c>
    </row>
    <row r="3" ht="8" customHeight="1"/>
    <row r="4" ht="25" customHeight="1">
      <c r="A4" s="3" t="inlineStr">
        <is>
          <t>Partida Financiera (en $M USD)</t>
        </is>
      </c>
      <c r="B4" s="4" t="inlineStr">
        <is>
          <t>LTM</t>
        </is>
      </c>
      <c r="C4" s="5" t="inlineStr">
        <is>
          <t>FY2026</t>
        </is>
      </c>
      <c r="D4" s="5" t="inlineStr">
        <is>
          <t>FY2025</t>
        </is>
      </c>
      <c r="E4" s="5" t="inlineStr">
        <is>
          <t>FY2024</t>
        </is>
      </c>
      <c r="F4" s="5" t="inlineStr">
        <is>
          <t>FY2023</t>
        </is>
      </c>
      <c r="G4" s="5" t="inlineStr">
        <is>
          <t>FY2022</t>
        </is>
      </c>
      <c r="H4" s="5" t="inlineStr">
        <is>
          <t>FY2021</t>
        </is>
      </c>
      <c r="I4" s="5" t="inlineStr">
        <is>
          <t>FY2020</t>
        </is>
      </c>
      <c r="J4" s="5" t="inlineStr">
        <is>
          <t>FY2019</t>
        </is>
      </c>
      <c r="K4" s="5" t="inlineStr">
        <is>
          <t>FY2018</t>
        </is>
      </c>
      <c r="L4" s="5" t="inlineStr">
        <is>
          <t>FY2017</t>
        </is>
      </c>
    </row>
    <row r="5" ht="18.5" customHeight="1">
      <c r="A5" s="6" t="inlineStr">
        <is>
          <t>Ingresos Totales (Revenue)</t>
        </is>
      </c>
      <c r="B5" s="7" t="n">
        <v>5527.289</v>
      </c>
      <c r="C5" s="7" t="n">
        <v>5472.296</v>
      </c>
      <c r="D5" s="7" t="n">
        <v>4985.612</v>
      </c>
      <c r="E5" s="7" t="n">
        <v>4287.763</v>
      </c>
      <c r="F5" s="7" t="n">
        <v>3627.286</v>
      </c>
      <c r="G5" s="7" t="n">
        <v>3150.339</v>
      </c>
      <c r="H5" s="7" t="n">
        <v>2545.641</v>
      </c>
      <c r="I5" s="7" t="n">
        <v>2132.689</v>
      </c>
      <c r="J5" s="7" t="n">
        <v>2020.437</v>
      </c>
      <c r="K5" s="7" t="n">
        <v>1903.339</v>
      </c>
      <c r="L5" s="7" t="n">
        <v>1790.147</v>
      </c>
    </row>
    <row r="6" ht="18.5" customHeight="1">
      <c r="A6" s="6" t="inlineStr">
        <is>
          <t>(-) Costo de Ventas (COGS)</t>
        </is>
      </c>
      <c r="B6" s="7" t="n">
        <v>2332.306</v>
      </c>
      <c r="C6" s="7" t="n">
        <v>2314.57</v>
      </c>
      <c r="D6" s="7" t="n">
        <v>2099.949</v>
      </c>
      <c r="E6" s="7" t="n">
        <v>1902.275</v>
      </c>
      <c r="F6" s="7" t="n">
        <v>1801.916</v>
      </c>
      <c r="G6" s="7" t="n">
        <v>1542.788</v>
      </c>
      <c r="H6" s="7" t="n">
        <v>1171.551</v>
      </c>
      <c r="I6" s="7" t="n">
        <v>1029.016</v>
      </c>
      <c r="J6" s="7" t="n">
        <v>980.187</v>
      </c>
      <c r="K6" s="7" t="n">
        <v>971.697</v>
      </c>
      <c r="L6" s="7" t="n">
        <v>954.912</v>
      </c>
    </row>
    <row r="7" ht="18.5" customHeight="1">
      <c r="A7" s="8" t="inlineStr">
        <is>
          <t>(=) Margen Bruto (Gross Profit)</t>
        </is>
      </c>
      <c r="B7" s="9" t="n">
        <v>3194.983</v>
      </c>
      <c r="C7" s="9" t="n">
        <v>3157.726</v>
      </c>
      <c r="D7" s="9" t="n">
        <v>2885.663</v>
      </c>
      <c r="E7" s="9" t="n">
        <v>2385.488</v>
      </c>
      <c r="F7" s="9" t="n">
        <v>1825.37</v>
      </c>
      <c r="G7" s="9" t="n">
        <v>1607.551</v>
      </c>
      <c r="H7" s="9" t="n">
        <v>1374.09</v>
      </c>
      <c r="I7" s="9" t="n">
        <v>1103.673</v>
      </c>
      <c r="J7" s="9" t="n">
        <v>1040.25</v>
      </c>
      <c r="K7" s="9" t="n">
        <v>931.6420000000001</v>
      </c>
      <c r="L7" s="9" t="n">
        <v>835.235</v>
      </c>
    </row>
    <row r="8" ht="18.5" customHeight="1">
      <c r="A8" s="6" t="inlineStr">
        <is>
          <t>(-) Total Gastos Operativos (OpEx)</t>
        </is>
      </c>
      <c r="B8" s="7" t="n">
        <v>1942.066</v>
      </c>
      <c r="C8" s="7" t="n">
        <v>1894.823</v>
      </c>
      <c r="D8" s="7" t="n">
        <v>1706.571</v>
      </c>
      <c r="E8" s="7" t="n">
        <v>1457.974</v>
      </c>
      <c r="F8" s="7" t="n">
        <v>1172.619</v>
      </c>
      <c r="G8" s="7" t="n">
        <v>1042.844</v>
      </c>
      <c r="H8" s="7" t="n">
        <v>869.885</v>
      </c>
      <c r="I8" s="7" t="n">
        <v>765.538</v>
      </c>
      <c r="J8" s="7" t="n">
        <v>712.9299999999999</v>
      </c>
      <c r="K8" s="7" t="n">
        <v>709.058</v>
      </c>
      <c r="L8" s="7" t="n">
        <v>837.154</v>
      </c>
    </row>
    <row r="9" ht="18.5" customHeight="1">
      <c r="A9" s="8" t="inlineStr">
        <is>
          <t>(=) Beneficio Operativo (EBIT)</t>
        </is>
      </c>
      <c r="B9" s="9" t="n">
        <v>1252.917</v>
      </c>
      <c r="C9" s="9" t="n">
        <v>1262.903</v>
      </c>
      <c r="D9" s="9" t="n">
        <v>1179.092</v>
      </c>
      <c r="E9" s="9" t="n">
        <v>927.514</v>
      </c>
      <c r="F9" s="9" t="n">
        <v>652.751</v>
      </c>
      <c r="G9" s="9" t="n">
        <v>564.707</v>
      </c>
      <c r="H9" s="9" t="n">
        <v>504.205</v>
      </c>
      <c r="I9" s="9" t="n">
        <v>338.135</v>
      </c>
      <c r="J9" s="9" t="n">
        <v>327.32</v>
      </c>
      <c r="K9" s="9" t="n">
        <v>222.584</v>
      </c>
      <c r="L9" s="9" t="n">
        <v>-1.919</v>
      </c>
    </row>
    <row r="10" ht="18.5" customHeight="1">
      <c r="A10" s="8" t="inlineStr">
        <is>
          <t>(=) Beneficio Neto (Net Income)</t>
        </is>
      </c>
      <c r="B10" s="9" t="n">
        <v>1014.84</v>
      </c>
      <c r="C10" s="9" t="n">
        <v>1024.071</v>
      </c>
      <c r="D10" s="9" t="n">
        <v>966.091</v>
      </c>
      <c r="E10" s="9" t="n">
        <v>759.563</v>
      </c>
      <c r="F10" s="9" t="n">
        <v>516.822</v>
      </c>
      <c r="G10" s="9" t="n">
        <v>451.949</v>
      </c>
      <c r="H10" s="9" t="n">
        <v>382.575</v>
      </c>
      <c r="I10" s="9" t="n">
        <v>276.142</v>
      </c>
      <c r="J10" s="9" t="n">
        <v>264.308</v>
      </c>
      <c r="K10" s="9" t="n">
        <v>114.394</v>
      </c>
      <c r="L10" s="9" t="n">
        <v>-47.327</v>
      </c>
    </row>
    <row r="11" ht="10" customHeight="1"/>
    <row r="12" ht="18.5" customHeight="1">
      <c r="A12" s="6" t="inlineStr">
        <is>
          <t>Flujo de Caja Operativo (CFO)</t>
        </is>
      </c>
      <c r="B12" s="7" t="n">
        <v>1193.713</v>
      </c>
      <c r="C12" s="7" t="n">
        <v>1181.955</v>
      </c>
      <c r="D12" s="7" t="n">
        <v>1044.523</v>
      </c>
      <c r="E12" s="7" t="n">
        <v>1033.184</v>
      </c>
      <c r="F12" s="7" t="n">
        <v>537.422</v>
      </c>
      <c r="G12" s="7" t="n">
        <v>172.353</v>
      </c>
      <c r="H12" s="7" t="n">
        <v>596.217</v>
      </c>
      <c r="I12" s="7" t="n">
        <v>286.334</v>
      </c>
      <c r="J12" s="7" t="n">
        <v>359.505</v>
      </c>
      <c r="K12" s="7" t="n">
        <v>327.351</v>
      </c>
      <c r="L12" s="7" t="n">
        <v>169.654</v>
      </c>
    </row>
    <row r="13" ht="18.5" customHeight="1">
      <c r="A13" s="6" t="inlineStr">
        <is>
          <t>(-) Inversión de Capital (CapEx)</t>
        </is>
      </c>
      <c r="B13" s="7" t="n">
        <v>75.905</v>
      </c>
      <c r="C13" s="7" t="n">
        <v>84.623</v>
      </c>
      <c r="D13" s="7" t="n">
        <v>86.17100000000001</v>
      </c>
      <c r="E13" s="7" t="n">
        <v>89.36499999999999</v>
      </c>
      <c r="F13" s="7" t="n">
        <v>81.02500000000001</v>
      </c>
      <c r="G13" s="7" t="n">
        <v>51.017</v>
      </c>
      <c r="H13" s="7" t="n">
        <v>32.218</v>
      </c>
      <c r="I13" s="7" t="n">
        <v>32.455</v>
      </c>
      <c r="J13" s="7" t="n">
        <v>29.086</v>
      </c>
      <c r="K13" s="7" t="n">
        <v>34.813</v>
      </c>
      <c r="L13" s="7" t="n">
        <v>44.499</v>
      </c>
    </row>
    <row r="14" ht="18.5" customHeight="1">
      <c r="A14" s="10" t="inlineStr">
        <is>
          <t>(=) Flujo de Caja Libre (Free Cash Flow)</t>
        </is>
      </c>
      <c r="B14" s="11" t="n">
        <v>1117.808</v>
      </c>
      <c r="C14" s="11" t="n">
        <v>1097.332</v>
      </c>
      <c r="D14" s="11" t="n">
        <v>958.352</v>
      </c>
      <c r="E14" s="11" t="n">
        <v>943.819</v>
      </c>
      <c r="F14" s="11" t="n">
        <v>456.397</v>
      </c>
      <c r="G14" s="11" t="n">
        <v>121.336</v>
      </c>
      <c r="H14" s="11" t="n">
        <v>563.999</v>
      </c>
      <c r="I14" s="11" t="n">
        <v>253.879</v>
      </c>
      <c r="J14" s="11" t="n">
        <v>330.419</v>
      </c>
      <c r="K14" s="11" t="n">
        <v>292.538</v>
      </c>
      <c r="L14" s="11" t="n">
        <v>125.155</v>
      </c>
    </row>
    <row r="15" ht="10" customHeight="1"/>
    <row r="16" ht="18.5" customHeight="1">
      <c r="A16" s="6" t="inlineStr">
        <is>
          <t>Efectivo e Inversiones Líquidas</t>
        </is>
      </c>
      <c r="B16" s="7" t="n">
        <v>1602.589</v>
      </c>
      <c r="C16" s="7" t="n">
        <v>1907.249</v>
      </c>
      <c r="D16" s="7" t="n">
        <v>1889.188</v>
      </c>
      <c r="E16" s="7" t="n">
        <v>1502.051</v>
      </c>
      <c r="F16" s="7" t="n">
        <v>981.795</v>
      </c>
      <c r="G16" s="7" t="n">
        <v>843.527</v>
      </c>
      <c r="H16" s="7" t="n">
        <v>1089.361</v>
      </c>
      <c r="I16" s="7" t="n">
        <v>649.436</v>
      </c>
      <c r="J16" s="7" t="n">
        <v>0</v>
      </c>
      <c r="K16" s="7" t="n">
        <v>429.97</v>
      </c>
      <c r="L16" s="7" t="n">
        <v>291.764</v>
      </c>
    </row>
    <row r="17" ht="18.5" customHeight="1">
      <c r="A17" s="6" t="inlineStr">
        <is>
          <t>Deuda Financiera Total</t>
        </is>
      </c>
      <c r="B17" s="7" t="n">
        <v>0</v>
      </c>
      <c r="C17" s="7" t="n">
        <v>0</v>
      </c>
      <c r="D17" s="7" t="n">
        <v>0</v>
      </c>
      <c r="E17" s="7" t="n">
        <v>0</v>
      </c>
      <c r="F17" s="7" t="n">
        <v>0</v>
      </c>
      <c r="G17" s="7" t="n">
        <v>0</v>
      </c>
      <c r="H17" s="7" t="n">
        <v>0</v>
      </c>
      <c r="I17" s="7" t="n">
        <v>0</v>
      </c>
      <c r="J17" s="7" t="n">
        <v>0</v>
      </c>
      <c r="K17" s="7" t="n">
        <v>0</v>
      </c>
      <c r="L17" s="7" t="n">
        <v>0</v>
      </c>
    </row>
    <row r="18" ht="18.5" customHeight="1">
      <c r="A18" s="12" t="inlineStr">
        <is>
          <t>Deuda Neta (Deuda Total - Caja)</t>
        </is>
      </c>
      <c r="B18" s="13" t="n">
        <v>-1602.589</v>
      </c>
      <c r="C18" s="13" t="n">
        <v>-1907.249</v>
      </c>
      <c r="D18" s="13" t="n">
        <v>-1889.188</v>
      </c>
      <c r="E18" s="13" t="n">
        <v>-1502.051</v>
      </c>
      <c r="F18" s="13" t="n">
        <v>-981.795</v>
      </c>
      <c r="G18" s="13" t="n">
        <v>-843.527</v>
      </c>
      <c r="H18" s="13" t="n">
        <v>-1089.361</v>
      </c>
      <c r="I18" s="13" t="n">
        <v>-649.436</v>
      </c>
      <c r="J18" s="13" t="n">
        <v>0</v>
      </c>
      <c r="K18" s="13" t="n">
        <v>-429.97</v>
      </c>
      <c r="L18" s="13" t="n">
        <v>-291.764</v>
      </c>
    </row>
    <row r="19" ht="18.5" customHeight="1">
      <c r="A19" s="8" t="inlineStr">
        <is>
          <t>Total Activos (Assets)</t>
        </is>
      </c>
      <c r="B19" s="9" t="n">
        <v>3868.621</v>
      </c>
      <c r="C19" s="9" t="n">
        <v>3687.765</v>
      </c>
      <c r="D19" s="9" t="n">
        <v>3570.252</v>
      </c>
      <c r="E19" s="9" t="n">
        <v>3135.579</v>
      </c>
      <c r="F19" s="9" t="n">
        <v>2556.203</v>
      </c>
      <c r="G19" s="9" t="n">
        <v>2332.25</v>
      </c>
      <c r="H19" s="9" t="n">
        <v>2167.705</v>
      </c>
      <c r="I19" s="9" t="n">
        <v>1765.118</v>
      </c>
      <c r="J19" s="9" t="n">
        <v>1427.206</v>
      </c>
      <c r="K19" s="9" t="n">
        <v>1264.379</v>
      </c>
      <c r="L19" s="9" t="n">
        <v>1191.78</v>
      </c>
    </row>
    <row r="20" ht="18.5" customHeight="1">
      <c r="A20" s="8" t="inlineStr">
        <is>
          <t>Patrimonio Neto (Stockholders Equity)</t>
        </is>
      </c>
      <c r="B20" s="9" t="n">
        <v>2301.682</v>
      </c>
      <c r="C20" s="9" t="n">
        <v>2499.638</v>
      </c>
      <c r="D20" s="9" t="n">
        <v>2513.013</v>
      </c>
      <c r="E20" s="9" t="n">
        <v>2107.468</v>
      </c>
      <c r="F20" s="9" t="n">
        <v>1765.733</v>
      </c>
      <c r="G20" s="9" t="n">
        <v>1538.825</v>
      </c>
      <c r="H20" s="9" t="n">
        <v>1444.225</v>
      </c>
      <c r="I20" s="9" t="n">
        <v>1140.12</v>
      </c>
      <c r="J20" s="9" t="n">
        <v>1045.13</v>
      </c>
      <c r="K20" s="9" t="n">
        <v>940.779</v>
      </c>
      <c r="L20" s="9" t="n">
        <v>954.255</v>
      </c>
    </row>
    <row r="21" ht="10" customHeight="1"/>
    <row r="22" ht="18.5" customHeight="1">
      <c r="A22" s="8" t="inlineStr">
        <is>
          <t>BPA Diluido Normalizado (Split-Adjusted) [$]</t>
        </is>
      </c>
      <c r="B22" s="14" t="n">
        <v>7.32</v>
      </c>
      <c r="C22" s="14" t="n">
        <v>7.02</v>
      </c>
      <c r="D22" s="14" t="n">
        <v>6.33</v>
      </c>
      <c r="E22" s="14" t="n">
        <v>4.86</v>
      </c>
      <c r="F22" s="14" t="n">
        <v>3.23</v>
      </c>
      <c r="G22" s="14" t="n">
        <v>2.71</v>
      </c>
      <c r="H22" s="14" t="n">
        <v>2.24</v>
      </c>
      <c r="I22" s="14" t="n">
        <v>1.6</v>
      </c>
      <c r="J22" s="14" t="n">
        <v>1.47</v>
      </c>
      <c r="K22" s="14" t="n">
        <v>0.6</v>
      </c>
      <c r="L22" s="14" t="n">
        <v>-0.24</v>
      </c>
    </row>
    <row r="23" ht="18.5" customHeight="1">
      <c r="A23" s="6" t="inlineStr">
        <is>
          <t>BPA Diluido Oficial As-Reported [$]</t>
        </is>
      </c>
      <c r="B23" s="15" t="n">
        <v>7.029999999999999</v>
      </c>
      <c r="C23" s="15" t="n">
        <v>7.02</v>
      </c>
      <c r="D23" s="15" t="n">
        <v>6.33</v>
      </c>
      <c r="E23" s="15" t="n">
        <v>29.16</v>
      </c>
      <c r="F23" s="15" t="n">
        <v>19.37</v>
      </c>
      <c r="G23" s="15" t="n">
        <v>16.26</v>
      </c>
      <c r="H23" s="15" t="n">
        <v>13.47</v>
      </c>
      <c r="I23" s="15" t="n">
        <v>9.619999999999999</v>
      </c>
      <c r="J23" s="15" t="n">
        <v>8.84</v>
      </c>
      <c r="K23" s="15" t="n">
        <v>3.58</v>
      </c>
      <c r="L23" s="15" t="n">
        <v>0.18</v>
      </c>
    </row>
    <row r="24" ht="18.5" customHeight="1">
      <c r="A24" s="12" t="inlineStr">
        <is>
          <t>Acciones Diluidas Ajustadas (Millones)</t>
        </is>
      </c>
      <c r="B24" s="16" t="n">
        <v>138.559</v>
      </c>
      <c r="C24" s="16" t="n">
        <v>145.805</v>
      </c>
      <c r="D24" s="16" t="n">
        <v>152.67</v>
      </c>
      <c r="E24" s="16" t="n">
        <v>156.288</v>
      </c>
      <c r="F24" s="16" t="n">
        <v>160.116</v>
      </c>
      <c r="G24" s="16" t="n">
        <v>166.734</v>
      </c>
      <c r="H24" s="16" t="n">
        <v>170.436</v>
      </c>
      <c r="I24" s="16" t="n">
        <v>172.164</v>
      </c>
      <c r="J24" s="16" t="n">
        <v>179.418</v>
      </c>
      <c r="K24" s="16" t="n">
        <v>191.976</v>
      </c>
      <c r="L24" s="16" t="n">
        <v>194.13</v>
      </c>
    </row>
    <row r="25" ht="18.5" customHeight="1">
      <c r="A25" s="6" t="inlineStr">
        <is>
          <t>Acciones Diluidas As-Reported (Millones)</t>
        </is>
      </c>
      <c r="B25" s="17" t="n">
        <v>138.559</v>
      </c>
      <c r="C25" s="17" t="n">
        <v>145.805</v>
      </c>
      <c r="D25" s="17" t="n">
        <v>152.67</v>
      </c>
      <c r="E25" s="17" t="n">
        <v>26.048</v>
      </c>
      <c r="F25" s="17" t="n">
        <v>26.686</v>
      </c>
      <c r="G25" s="17" t="n">
        <v>27.789</v>
      </c>
      <c r="H25" s="17" t="n">
        <v>28.406</v>
      </c>
      <c r="I25" s="17" t="n">
        <v>28.694</v>
      </c>
      <c r="J25" s="17" t="n">
        <v>29.903</v>
      </c>
      <c r="K25" s="17" t="n">
        <v>31.996</v>
      </c>
      <c r="L25" s="17" t="n">
        <v>32.355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showGridLines="1"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DECKERS OUTDOOR CORP (DECK) - Ratios Financieros y Retornos</t>
        </is>
      </c>
    </row>
    <row r="2" ht="18" customHeight="1">
      <c r="A2" s="2" t="inlineStr">
        <is>
          <t>Márgenes y Retornos expresados en porcentaje (%), Múltiplos en (x) | Fuente: SEC EDGAR</t>
        </is>
      </c>
    </row>
    <row r="3" ht="8" customHeight="1"/>
    <row r="4" ht="25" customHeight="1">
      <c r="A4" s="3" t="inlineStr">
        <is>
          <t>Ratio Financiero / Métrica</t>
        </is>
      </c>
      <c r="B4" s="4" t="inlineStr">
        <is>
          <t>LTM</t>
        </is>
      </c>
      <c r="C4" s="5" t="inlineStr">
        <is>
          <t>FY2026</t>
        </is>
      </c>
      <c r="D4" s="5" t="inlineStr">
        <is>
          <t>FY2025</t>
        </is>
      </c>
      <c r="E4" s="5" t="inlineStr">
        <is>
          <t>FY2024</t>
        </is>
      </c>
      <c r="F4" s="5" t="inlineStr">
        <is>
          <t>FY2023</t>
        </is>
      </c>
      <c r="G4" s="5" t="inlineStr">
        <is>
          <t>FY2022</t>
        </is>
      </c>
      <c r="H4" s="5" t="inlineStr">
        <is>
          <t>FY2021</t>
        </is>
      </c>
      <c r="I4" s="5" t="inlineStr">
        <is>
          <t>FY2020</t>
        </is>
      </c>
      <c r="J4" s="5" t="inlineStr">
        <is>
          <t>FY2019</t>
        </is>
      </c>
      <c r="K4" s="5" t="inlineStr">
        <is>
          <t>FY2018</t>
        </is>
      </c>
      <c r="L4" s="5" t="inlineStr">
        <is>
          <t>FY2017</t>
        </is>
      </c>
    </row>
    <row r="5" ht="22" customHeight="1">
      <c r="A5" s="18" t="inlineStr">
        <is>
          <t>MÁRGENES DE RENTABILIDAD</t>
        </is>
      </c>
      <c r="B5" s="19" t="n"/>
      <c r="C5" s="19" t="n"/>
      <c r="D5" s="19" t="n"/>
      <c r="E5" s="19" t="n"/>
      <c r="F5" s="19" t="n"/>
      <c r="G5" s="19" t="n"/>
      <c r="H5" s="19" t="n"/>
      <c r="I5" s="19" t="n"/>
      <c r="J5" s="19" t="n"/>
      <c r="K5" s="19" t="n"/>
      <c r="L5" s="19" t="n"/>
    </row>
    <row r="6" ht="18.5" customHeight="1">
      <c r="A6" s="6" t="inlineStr">
        <is>
          <t xml:space="preserve">   Margen Bruto (Gross Margin)</t>
        </is>
      </c>
      <c r="B6" s="20" t="n">
        <v>0.578</v>
      </c>
      <c r="C6" s="20" t="n">
        <v>0.5770000000000001</v>
      </c>
      <c r="D6" s="20" t="n">
        <v>0.5788</v>
      </c>
      <c r="E6" s="20" t="n">
        <v>0.5563</v>
      </c>
      <c r="F6" s="20" t="n">
        <v>0.5032</v>
      </c>
      <c r="G6" s="20" t="n">
        <v>0.5103</v>
      </c>
      <c r="H6" s="20" t="n">
        <v>0.5397999999999999</v>
      </c>
      <c r="I6" s="20" t="n">
        <v>0.5175</v>
      </c>
      <c r="J6" s="20" t="n">
        <v>0.5149</v>
      </c>
      <c r="K6" s="20" t="n">
        <v>0.4895</v>
      </c>
      <c r="L6" s="20" t="n">
        <v>0.4666</v>
      </c>
    </row>
    <row r="7" ht="18.5" customHeight="1">
      <c r="A7" s="6" t="inlineStr">
        <is>
          <t xml:space="preserve">   Margen Operativo (Operating Margin)</t>
        </is>
      </c>
      <c r="B7" s="20" t="n">
        <v>0.2267</v>
      </c>
      <c r="C7" s="20" t="n">
        <v>0.2308</v>
      </c>
      <c r="D7" s="20" t="n">
        <v>0.2365</v>
      </c>
      <c r="E7" s="20" t="n">
        <v>0.2163</v>
      </c>
      <c r="F7" s="20" t="n">
        <v>0.18</v>
      </c>
      <c r="G7" s="20" t="n">
        <v>0.1793</v>
      </c>
      <c r="H7" s="20" t="n">
        <v>0.1981</v>
      </c>
      <c r="I7" s="20" t="n">
        <v>0.1585</v>
      </c>
      <c r="J7" s="20" t="n">
        <v>0.162</v>
      </c>
      <c r="K7" s="20" t="n">
        <v>0.1169</v>
      </c>
      <c r="L7" s="20" t="n">
        <v>-0.0011</v>
      </c>
    </row>
    <row r="8" ht="18.5" customHeight="1">
      <c r="A8" s="6" t="inlineStr">
        <is>
          <t xml:space="preserve">   Margen Neto (Net Margin)</t>
        </is>
      </c>
      <c r="B8" s="20" t="n">
        <v>0.1836</v>
      </c>
      <c r="C8" s="20" t="n">
        <v>0.1871</v>
      </c>
      <c r="D8" s="20" t="n">
        <v>0.1938</v>
      </c>
      <c r="E8" s="20" t="n">
        <v>0.1771</v>
      </c>
      <c r="F8" s="20" t="n">
        <v>0.1425</v>
      </c>
      <c r="G8" s="20" t="n">
        <v>0.1435</v>
      </c>
      <c r="H8" s="20" t="n">
        <v>0.1503</v>
      </c>
      <c r="I8" s="20" t="n">
        <v>0.1295</v>
      </c>
      <c r="J8" s="20" t="n">
        <v>0.1308</v>
      </c>
      <c r="K8" s="20" t="n">
        <v>0.0601</v>
      </c>
      <c r="L8" s="20" t="n">
        <v>-0.0264</v>
      </c>
    </row>
    <row r="9" ht="18.5" customHeight="1">
      <c r="A9" s="6" t="inlineStr">
        <is>
          <t xml:space="preserve">   Margen de Flujo de Caja Libre (FCF Margin)</t>
        </is>
      </c>
      <c r="B9" s="20" t="n">
        <v>0.2022</v>
      </c>
      <c r="C9" s="20" t="n">
        <v>0.2005</v>
      </c>
      <c r="D9" s="20" t="n">
        <v>0.1922</v>
      </c>
      <c r="E9" s="20" t="n">
        <v>0.2201</v>
      </c>
      <c r="F9" s="20" t="n">
        <v>0.1258</v>
      </c>
      <c r="G9" s="20" t="n">
        <v>0.0385</v>
      </c>
      <c r="H9" s="20" t="n">
        <v>0.2216</v>
      </c>
      <c r="I9" s="20" t="n">
        <v>0.119</v>
      </c>
      <c r="J9" s="20" t="n">
        <v>0.1635</v>
      </c>
      <c r="K9" s="20" t="n">
        <v>0.1537</v>
      </c>
      <c r="L9" s="20" t="n">
        <v>0.0699</v>
      </c>
    </row>
    <row r="10" ht="18.5" customHeight="1">
      <c r="A10" s="6" t="inlineStr">
        <is>
          <t xml:space="preserve">   Conversión de Beneficio a FCF (FCF / Net Income)</t>
        </is>
      </c>
      <c r="B10" s="20" t="n">
        <v>1.1015</v>
      </c>
      <c r="C10" s="20" t="n">
        <v>1.0715</v>
      </c>
      <c r="D10" s="20" t="n">
        <v>0.992</v>
      </c>
      <c r="E10" s="20" t="n">
        <v>1.2426</v>
      </c>
      <c r="F10" s="20" t="n">
        <v>0.8831</v>
      </c>
      <c r="G10" s="20" t="n">
        <v>0.2685</v>
      </c>
      <c r="H10" s="20" t="n">
        <v>1.4742</v>
      </c>
      <c r="I10" s="20" t="n">
        <v>0.9194</v>
      </c>
      <c r="J10" s="20" t="n">
        <v>1.2501</v>
      </c>
      <c r="K10" s="20" t="n">
        <v>2.5573</v>
      </c>
      <c r="L10" s="20" t="n">
        <v>-2.6445</v>
      </c>
    </row>
    <row r="11" ht="10" customHeight="1"/>
    <row r="12" ht="22" customHeight="1">
      <c r="A12" s="18" t="inlineStr">
        <is>
          <t>RETORNOS SOBRE EL CAPITAL</t>
        </is>
      </c>
      <c r="B12" s="19" t="n"/>
      <c r="C12" s="19" t="n"/>
      <c r="D12" s="19" t="n"/>
      <c r="E12" s="19" t="n"/>
      <c r="F12" s="19" t="n"/>
      <c r="G12" s="19" t="n"/>
      <c r="H12" s="19" t="n"/>
      <c r="I12" s="19" t="n"/>
      <c r="J12" s="19" t="n"/>
      <c r="K12" s="19" t="n"/>
      <c r="L12" s="19" t="n"/>
    </row>
    <row r="13" ht="18.5" customHeight="1">
      <c r="A13" s="6" t="inlineStr">
        <is>
          <t xml:space="preserve">   Retorno sobre Patrimonio (ROE = Net Income / Equity Promedio)</t>
        </is>
      </c>
      <c r="B13" s="20" t="n">
        <v>0.4227</v>
      </c>
      <c r="C13" s="20" t="n">
        <v>0.4086</v>
      </c>
      <c r="D13" s="20" t="n">
        <v>0.4182</v>
      </c>
      <c r="E13" s="20" t="n">
        <v>0.3922</v>
      </c>
      <c r="F13" s="20" t="n">
        <v>0.3128</v>
      </c>
      <c r="G13" s="20" t="n">
        <v>0.303</v>
      </c>
      <c r="H13" s="20" t="n">
        <v>0.2961</v>
      </c>
      <c r="I13" s="20" t="n">
        <v>0.2527</v>
      </c>
      <c r="J13" s="20" t="n">
        <v>0.2662</v>
      </c>
      <c r="K13" s="20" t="n">
        <v>0.1207</v>
      </c>
      <c r="L13" s="20" t="n">
        <v>-0.0496</v>
      </c>
    </row>
    <row r="14" ht="18.5" customHeight="1">
      <c r="A14" s="6" t="inlineStr">
        <is>
          <t xml:space="preserve">   Retorno sobre Activos (ROA = Net Income / Assets Promedio)</t>
        </is>
      </c>
      <c r="B14" s="20" t="n">
        <v>0.2686</v>
      </c>
      <c r="C14" s="20" t="n">
        <v>0.2822</v>
      </c>
      <c r="D14" s="20" t="n">
        <v>0.2881</v>
      </c>
      <c r="E14" s="20" t="n">
        <v>0.2669</v>
      </c>
      <c r="F14" s="20" t="n">
        <v>0.2114</v>
      </c>
      <c r="G14" s="20" t="n">
        <v>0.2009</v>
      </c>
      <c r="H14" s="20" t="n">
        <v>0.1946</v>
      </c>
      <c r="I14" s="20" t="n">
        <v>0.173</v>
      </c>
      <c r="J14" s="20" t="n">
        <v>0.1964</v>
      </c>
      <c r="K14" s="20" t="n">
        <v>0.0931</v>
      </c>
      <c r="L14" s="20" t="n">
        <v>-0.0397</v>
      </c>
    </row>
    <row r="15" ht="18.5" customHeight="1">
      <c r="A15" s="6" t="inlineStr">
        <is>
          <t xml:space="preserve">   Retorno sobre Capital Tangible (ROC Greenblatt = EBIT / Capital Tangible Promedio)</t>
        </is>
      </c>
      <c r="B15" s="20" t="n">
        <v>2.340942679538656</v>
      </c>
      <c r="C15" s="20" t="n">
        <v>2.516184111955881</v>
      </c>
      <c r="D15" s="20" t="n">
        <v>2.244807740269927</v>
      </c>
      <c r="E15" s="20" t="n">
        <v>1.518873872324816</v>
      </c>
      <c r="F15" s="20" t="n">
        <v>1.01427913260815</v>
      </c>
      <c r="G15" s="20" t="n">
        <v>1.270938033817741</v>
      </c>
      <c r="H15" s="20" t="n">
        <v>1.340888722232417</v>
      </c>
      <c r="I15" s="20" t="n">
        <v>0.4474333468083149</v>
      </c>
      <c r="J15" s="20" t="n">
        <v>0.4168638041560297</v>
      </c>
      <c r="K15" s="20" t="n">
        <v>0.4020472285918394</v>
      </c>
      <c r="L15" s="20" t="n">
        <v>-0.003222301888883478</v>
      </c>
    </row>
    <row r="16" ht="10" customHeight="1"/>
    <row r="17" ht="22" customHeight="1">
      <c r="A17" s="18" t="inlineStr">
        <is>
          <t>LIQUIDEZ Y APALANCAMIENTO</t>
        </is>
      </c>
      <c r="B17" s="19" t="n"/>
      <c r="C17" s="19" t="n"/>
      <c r="D17" s="19" t="n"/>
      <c r="E17" s="19" t="n"/>
      <c r="F17" s="19" t="n"/>
      <c r="G17" s="19" t="n"/>
      <c r="H17" s="19" t="n"/>
      <c r="I17" s="19" t="n"/>
      <c r="J17" s="19" t="n"/>
      <c r="K17" s="19" t="n"/>
      <c r="L17" s="19" t="n"/>
    </row>
    <row r="18" ht="18.5" customHeight="1">
      <c r="A18" s="6" t="inlineStr">
        <is>
          <t xml:space="preserve">   Ratio de Liquidez Corriente (Current Ratio)</t>
        </is>
      </c>
      <c r="B18" s="21" t="n">
        <v>2.75</v>
      </c>
      <c r="C18" s="21" t="n">
        <v>3.54</v>
      </c>
      <c r="D18" s="21" t="n">
        <v>3.72</v>
      </c>
      <c r="E18" s="21" t="n">
        <v>3.39</v>
      </c>
      <c r="F18" s="21" t="n">
        <v>3.84</v>
      </c>
      <c r="G18" s="21" t="n">
        <v>3.23</v>
      </c>
      <c r="H18" s="21" t="n">
        <v>3.52</v>
      </c>
      <c r="I18" s="21" t="n">
        <v>3.97</v>
      </c>
      <c r="J18" s="21" t="n">
        <v>4.37</v>
      </c>
      <c r="K18" s="21" t="n">
        <v>4.81</v>
      </c>
      <c r="L18" s="21" t="n">
        <v>5.16</v>
      </c>
    </row>
    <row r="19" ht="18.5" customHeight="1">
      <c r="A19" s="6" t="inlineStr">
        <is>
          <t xml:space="preserve">   Deuda sobre Patrimonio (Debt to Equity)</t>
        </is>
      </c>
      <c r="B19" s="21" t="n">
        <v>0</v>
      </c>
      <c r="C19" s="21" t="n">
        <v>0</v>
      </c>
      <c r="D19" s="21" t="n">
        <v>0</v>
      </c>
      <c r="E19" s="21" t="n">
        <v>0</v>
      </c>
      <c r="F19" s="21" t="n">
        <v>0</v>
      </c>
      <c r="G19" s="21" t="n">
        <v>0</v>
      </c>
      <c r="H19" s="21" t="n">
        <v>0</v>
      </c>
      <c r="I19" s="21" t="n">
        <v>0</v>
      </c>
      <c r="J19" s="21" t="n">
        <v>0</v>
      </c>
      <c r="K19" s="21" t="n">
        <v>0</v>
      </c>
      <c r="L19" s="21" t="n">
        <v>0</v>
      </c>
    </row>
    <row r="20" ht="10" customHeight="1"/>
    <row r="21" ht="22" customHeight="1">
      <c r="A21" s="18" t="inlineStr">
        <is>
          <t>PRODUCTIVIDAD PURA DEL CAPITAL (NOVY-MARX DUPONT)</t>
        </is>
      </c>
      <c r="B21" s="19" t="n"/>
      <c r="C21" s="19" t="n"/>
      <c r="D21" s="19" t="n"/>
      <c r="E21" s="19" t="n"/>
      <c r="F21" s="19" t="n"/>
      <c r="G21" s="19" t="n"/>
      <c r="H21" s="19" t="n"/>
      <c r="I21" s="19" t="n"/>
      <c r="J21" s="19" t="n"/>
      <c r="K21" s="19" t="n"/>
      <c r="L21" s="19" t="n"/>
    </row>
    <row r="22" ht="18.5" customHeight="1">
      <c r="A22" s="6" t="inlineStr">
        <is>
          <t xml:space="preserve">   Gross Profitability (Activos Totales)</t>
        </is>
      </c>
      <c r="B22" s="20" t="n">
        <v>0.8258712859181605</v>
      </c>
      <c r="C22" s="20" t="n">
        <v>0.8562709391731849</v>
      </c>
      <c r="D22" s="20" t="n">
        <v>0.8082519105093983</v>
      </c>
      <c r="E22" s="20" t="n">
        <v>0.7607807042973562</v>
      </c>
      <c r="F22" s="20" t="n">
        <v>0.7140943031519797</v>
      </c>
      <c r="G22" s="20" t="n">
        <v>0.6892704469932469</v>
      </c>
      <c r="H22" s="20" t="n">
        <v>0.6338916042542689</v>
      </c>
      <c r="I22" s="20" t="n">
        <v>0.6252686789211827</v>
      </c>
      <c r="J22" s="20" t="n">
        <v>0.728871655528354</v>
      </c>
      <c r="K22" s="20" t="n">
        <v>0.7368376096091441</v>
      </c>
      <c r="L22" s="20" t="n">
        <v>0.7008298511470238</v>
      </c>
    </row>
    <row r="23" ht="18.5" customHeight="1">
      <c r="A23" s="6" t="inlineStr">
        <is>
          <t xml:space="preserve">   Gross Profitability Operativa (Ex-Caja)</t>
        </is>
      </c>
      <c r="B23" s="20" t="n">
        <v>1.409946108439775</v>
      </c>
      <c r="C23" s="20" t="n">
        <v>1.773489258170103</v>
      </c>
      <c r="D23" s="20" t="n">
        <v>1.716569387007276</v>
      </c>
      <c r="E23" s="20" t="n">
        <v>1.460328809790833</v>
      </c>
      <c r="F23" s="20" t="n">
        <v>1.159400866865514</v>
      </c>
      <c r="G23" s="20" t="n">
        <v>1.079818743983938</v>
      </c>
      <c r="H23" s="20" t="n">
        <v>1.274259419999555</v>
      </c>
      <c r="I23" s="20" t="n">
        <v>0.9892361802018855</v>
      </c>
      <c r="J23" s="20" t="n">
        <v>0.728871655528354</v>
      </c>
      <c r="K23" s="20" t="n">
        <v>1.116529184129126</v>
      </c>
      <c r="L23" s="20" t="n">
        <v>0.928022390713054</v>
      </c>
    </row>
    <row r="24" ht="18.5" customHeight="1">
      <c r="A24" s="6" t="inlineStr">
        <is>
          <t xml:space="preserve">   Efecto Arrastre de Caja (Cash Drag)</t>
        </is>
      </c>
      <c r="B24" s="20" t="n">
        <v>0.5840748225216144</v>
      </c>
      <c r="C24" s="20" t="n">
        <v>0.9172183189969185</v>
      </c>
      <c r="D24" s="20" t="n">
        <v>0.908317476497878</v>
      </c>
      <c r="E24" s="20" t="n">
        <v>0.6995481054934768</v>
      </c>
      <c r="F24" s="20" t="n">
        <v>0.445306563713534</v>
      </c>
      <c r="G24" s="20" t="n">
        <v>0.390548296990691</v>
      </c>
      <c r="H24" s="20" t="n">
        <v>0.640367815745286</v>
      </c>
      <c r="I24" s="20" t="n">
        <v>0.3639675012807029</v>
      </c>
      <c r="J24" s="20" t="n">
        <v>0</v>
      </c>
      <c r="K24" s="20" t="n">
        <v>0.3796915745199819</v>
      </c>
      <c r="L24" s="20" t="n">
        <v>0.2271925395660302</v>
      </c>
    </row>
    <row r="25" ht="18.5" customHeight="1">
      <c r="A25" s="6" t="inlineStr">
        <is>
          <t xml:space="preserve">   Margen Bruto de Utilidad (DuPont)</t>
        </is>
      </c>
      <c r="B25" s="20" t="n">
        <v>0.578</v>
      </c>
      <c r="C25" s="20" t="n">
        <v>0.5770000000000001</v>
      </c>
      <c r="D25" s="20" t="n">
        <v>0.5788</v>
      </c>
      <c r="E25" s="20" t="n">
        <v>0.5563</v>
      </c>
      <c r="F25" s="20" t="n">
        <v>0.5032</v>
      </c>
      <c r="G25" s="20" t="n">
        <v>0.5103</v>
      </c>
      <c r="H25" s="20" t="n">
        <v>0.5397999999999999</v>
      </c>
      <c r="I25" s="20" t="n">
        <v>0.5175</v>
      </c>
      <c r="J25" s="20" t="n">
        <v>0.5149</v>
      </c>
      <c r="K25" s="20" t="n">
        <v>0.4895</v>
      </c>
      <c r="L25" s="20" t="n">
        <v>0.4666</v>
      </c>
    </row>
    <row r="26" ht="18.5" customHeight="1">
      <c r="A26" s="6" t="inlineStr">
        <is>
          <t xml:space="preserve">   Rotación de Activos Totales (DuPont)</t>
        </is>
      </c>
      <c r="B26" s="21" t="n">
        <v>1.42874915893803</v>
      </c>
      <c r="C26" s="21" t="n">
        <v>1.483905834563753</v>
      </c>
      <c r="D26" s="21" t="n">
        <v>1.396431400360535</v>
      </c>
      <c r="E26" s="21" t="n">
        <v>1.367454942133494</v>
      </c>
      <c r="F26" s="21" t="n">
        <v>1.419013278679354</v>
      </c>
      <c r="G26" s="21" t="n">
        <v>1.350772430056812</v>
      </c>
      <c r="H26" s="21" t="n">
        <v>1.174348446859697</v>
      </c>
      <c r="I26" s="21" t="n">
        <v>1.208241601977885</v>
      </c>
      <c r="J26" s="21" t="n">
        <v>1.415658986859641</v>
      </c>
      <c r="K26" s="21" t="n">
        <v>1.505354802634337</v>
      </c>
      <c r="L26" s="21" t="n">
        <v>1.502078403732233</v>
      </c>
    </row>
    <row r="27" ht="18.5" customHeight="1">
      <c r="A27" s="6" t="inlineStr">
        <is>
          <t xml:space="preserve">   Rotación de Activos Operativos (Ex-Caja)</t>
        </is>
      </c>
      <c r="B27" s="21" t="n">
        <v>2.439192826932718</v>
      </c>
      <c r="C27" s="21" t="n">
        <v>3.073432645367972</v>
      </c>
      <c r="D27" s="21" t="n">
        <v>2.965747883483318</v>
      </c>
      <c r="E27" s="21" t="n">
        <v>2.624848181359609</v>
      </c>
      <c r="F27" s="21" t="n">
        <v>2.303904705768772</v>
      </c>
      <c r="G27" s="21" t="n">
        <v>2.11613510370969</v>
      </c>
      <c r="H27" s="21" t="n">
        <v>2.360694731922281</v>
      </c>
      <c r="I27" s="21" t="n">
        <v>1.91155633953044</v>
      </c>
      <c r="J27" s="21" t="n">
        <v>1.415658986859641</v>
      </c>
      <c r="K27" s="21" t="n">
        <v>2.28106240464808</v>
      </c>
      <c r="L27" s="21" t="n">
        <v>1.989016861922455</v>
      </c>
    </row>
    <row r="28" ht="10" customHeight="1"/>
    <row r="29" ht="22" customHeight="1">
      <c r="A29" s="18" t="inlineStr">
        <is>
          <t>RENDIMIENTO DEL CAPITAL Y CREACIÓN DE VALOR (ROIC AJUSTADO VS WACC)</t>
        </is>
      </c>
      <c r="B29" s="19" t="n"/>
      <c r="C29" s="19" t="n"/>
      <c r="D29" s="19" t="n"/>
      <c r="E29" s="19" t="n"/>
      <c r="F29" s="19" t="n"/>
      <c r="G29" s="19" t="n"/>
      <c r="H29" s="19" t="n"/>
      <c r="I29" s="19" t="n"/>
      <c r="J29" s="19" t="n"/>
      <c r="K29" s="19" t="n"/>
      <c r="L29" s="19" t="n"/>
    </row>
    <row r="30" ht="18.5" customHeight="1">
      <c r="A30" s="6" t="inlineStr">
        <is>
          <t xml:space="preserve">   ROIC Tradicional (NOPAT / Cap. Invertido)</t>
        </is>
      </c>
      <c r="B30" s="20" t="n">
        <v>0.9085596621693257</v>
      </c>
      <c r="C30" s="20" t="n">
        <v>1.057122133542421</v>
      </c>
      <c r="D30" s="20" t="n">
        <v>1.020994268514977</v>
      </c>
      <c r="E30" s="20" t="n">
        <v>0.7362098662539193</v>
      </c>
      <c r="F30" s="20" t="n">
        <v>0.5095417197158</v>
      </c>
      <c r="G30" s="20" t="n">
        <v>0.573043329704595</v>
      </c>
      <c r="H30" s="20" t="n">
        <v>0.5591613603310707</v>
      </c>
      <c r="I30" s="20" t="n">
        <v>0.2682778301692563</v>
      </c>
      <c r="J30" s="20" t="n">
        <v>0.2838566900393815</v>
      </c>
      <c r="K30" s="20" t="n">
        <v>0.253701262725363</v>
      </c>
      <c r="L30" s="20" t="n">
        <v>-0.002045994075293705</v>
      </c>
    </row>
    <row r="31" ht="18.5" customHeight="1">
      <c r="A31" s="6" t="inlineStr">
        <is>
          <t xml:space="preserve">   ROIC Ajustado por Intangibles (Damodaran)</t>
        </is>
      </c>
      <c r="B31" s="20" t="n">
        <v>0.5358330338285746</v>
      </c>
      <c r="C31" s="20" t="n">
        <v>0.5933050236441325</v>
      </c>
      <c r="D31" s="20" t="n">
        <v>0.6178594742155131</v>
      </c>
      <c r="E31" s="20" t="n">
        <v>0.5067025272978057</v>
      </c>
      <c r="F31" s="20" t="n">
        <v>0.3693392139344869</v>
      </c>
      <c r="G31" s="20" t="n">
        <v>0.405151021662055</v>
      </c>
      <c r="H31" s="20" t="n">
        <v>0.3858953469788292</v>
      </c>
      <c r="I31" s="20" t="n">
        <v>0.2071693341985046</v>
      </c>
      <c r="J31" s="20" t="n">
        <v>0.1960438613502034</v>
      </c>
      <c r="K31" s="20" t="n">
        <v>0.2525389473595864</v>
      </c>
      <c r="L31" s="20" t="n">
        <v>0.2108630790497265</v>
      </c>
    </row>
    <row r="32" ht="18.5" customHeight="1">
      <c r="A32" s="6" t="inlineStr">
        <is>
          <t xml:space="preserve">   Stock de Intangibles Capitalizados ($M)</t>
        </is>
      </c>
      <c r="B32" s="41" t="n">
        <v>947.5058833333333</v>
      </c>
      <c r="C32" s="41" t="n">
        <v>947.5058833333333</v>
      </c>
      <c r="D32" s="41" t="n">
        <v>833.0097333333332</v>
      </c>
      <c r="E32" s="41" t="n">
        <v>699.34205</v>
      </c>
      <c r="F32" s="41" t="n">
        <v>578.6406333333333</v>
      </c>
      <c r="G32" s="41" t="n">
        <v>504.94895</v>
      </c>
      <c r="H32" s="41" t="n">
        <v>430.5211999999999</v>
      </c>
      <c r="I32" s="41" t="n">
        <v>387.0712333333333</v>
      </c>
      <c r="J32" s="41" t="n">
        <v>365.4247</v>
      </c>
      <c r="K32" s="41" t="n">
        <v>374.8331666666667</v>
      </c>
      <c r="L32" s="41" t="n">
        <v>272.4022</v>
      </c>
    </row>
    <row r="33" ht="18.5" customHeight="1">
      <c r="A33" s="6" t="inlineStr">
        <is>
          <t xml:space="preserve">   Capital Invertido Reconstituido Promedio ($M)</t>
        </is>
      </c>
      <c r="B33" s="41" t="n">
        <v>2036.927383333333</v>
      </c>
      <c r="C33" s="41" t="n">
        <v>1834.040308333333</v>
      </c>
      <c r="D33" s="41" t="n">
        <v>1678.504891666666</v>
      </c>
      <c r="E33" s="41" t="n">
        <v>1634.272841666667</v>
      </c>
      <c r="F33" s="41" t="n">
        <v>1553.828291666667</v>
      </c>
      <c r="G33" s="41" t="n">
        <v>1246.242575</v>
      </c>
      <c r="H33" s="41" t="n">
        <v>1121.152216666666</v>
      </c>
      <c r="I33" s="41" t="n">
        <v>1371.956966666666</v>
      </c>
      <c r="J33" s="41" t="n">
        <v>1281.091433333333</v>
      </c>
      <c r="K33" s="41" t="n">
        <v>1016.721683333333</v>
      </c>
      <c r="L33" s="41" t="n">
        <v>1013.3672</v>
      </c>
    </row>
    <row r="34" ht="18.5" customHeight="1">
      <c r="A34" s="6" t="inlineStr">
        <is>
          <t xml:space="preserve">   Costo Promedio Ponderado de Capital (WACC)</t>
        </is>
      </c>
      <c r="B34" s="20" t="n">
        <v>0.1039025</v>
      </c>
      <c r="C34" s="20" t="n">
        <v>0.1039025</v>
      </c>
      <c r="D34" s="20" t="n">
        <v>0.1039025</v>
      </c>
      <c r="E34" s="20" t="n">
        <v>0.1039025</v>
      </c>
      <c r="F34" s="20" t="n">
        <v>0.1039025</v>
      </c>
      <c r="G34" s="20" t="n">
        <v>0.1039025</v>
      </c>
      <c r="H34" s="20" t="n">
        <v>0.1039025</v>
      </c>
      <c r="I34" s="20" t="n">
        <v>0.1039025</v>
      </c>
      <c r="J34" s="20" t="n">
        <v>0.1039025</v>
      </c>
      <c r="K34" s="20" t="n">
        <v>0.1039025</v>
      </c>
      <c r="L34" s="20" t="n">
        <v>0.1039025</v>
      </c>
    </row>
    <row r="35" ht="18.5" customHeight="1">
      <c r="A35" s="6" t="inlineStr">
        <is>
          <t xml:space="preserve">   Spread Económico (ROIC Ajustado - WACC)</t>
        </is>
      </c>
      <c r="B35" s="54" t="n">
        <v>0.4319305338285745</v>
      </c>
      <c r="C35" s="54" t="n">
        <v>0.4894025236441324</v>
      </c>
      <c r="D35" s="54" t="n">
        <v>0.5139569742155131</v>
      </c>
      <c r="E35" s="54" t="n">
        <v>0.4028000272978057</v>
      </c>
      <c r="F35" s="54" t="n">
        <v>0.2654367139344869</v>
      </c>
      <c r="G35" s="54" t="n">
        <v>0.301248521662055</v>
      </c>
      <c r="H35" s="54" t="n">
        <v>0.2819928469788291</v>
      </c>
      <c r="I35" s="54" t="n">
        <v>0.1032668341985046</v>
      </c>
      <c r="J35" s="54" t="n">
        <v>0.09214136135020339</v>
      </c>
      <c r="K35" s="54" t="n">
        <v>0.1486364473595864</v>
      </c>
      <c r="L35" s="54" t="n">
        <v>0.1069605790497265</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35"/>
  <sheetViews>
    <sheetView showGridLines="1"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DECKERS OUTDOOR CORP (DECK) - Estado de Resultados Oficial</t>
        </is>
      </c>
    </row>
    <row r="2" ht="18" customHeight="1">
      <c r="A2" s="2" t="inlineStr">
        <is>
          <t>Cifras expresadas en Millones de USD ($M), salvo BPA | US-GAAP Auditado</t>
        </is>
      </c>
    </row>
    <row r="3" ht="8" customHeight="1"/>
    <row r="4" ht="25" customHeight="1">
      <c r="A4" s="3" t="inlineStr">
        <is>
          <t>Concepto Contable</t>
        </is>
      </c>
      <c r="B4" s="4" t="inlineStr">
        <is>
          <t>LTM</t>
        </is>
      </c>
      <c r="C4" s="5" t="inlineStr">
        <is>
          <t>FY2026</t>
        </is>
      </c>
      <c r="D4" s="5" t="inlineStr">
        <is>
          <t>FY2025</t>
        </is>
      </c>
      <c r="E4" s="5" t="inlineStr">
        <is>
          <t>FY2024</t>
        </is>
      </c>
      <c r="F4" s="5" t="inlineStr">
        <is>
          <t>FY2023</t>
        </is>
      </c>
      <c r="G4" s="5" t="inlineStr">
        <is>
          <t>FY2022</t>
        </is>
      </c>
      <c r="H4" s="5" t="inlineStr">
        <is>
          <t>FY2021</t>
        </is>
      </c>
      <c r="I4" s="5" t="inlineStr">
        <is>
          <t>FY2020</t>
        </is>
      </c>
      <c r="J4" s="5" t="inlineStr">
        <is>
          <t>FY2019</t>
        </is>
      </c>
      <c r="K4" s="5" t="inlineStr">
        <is>
          <t>FY2018</t>
        </is>
      </c>
      <c r="L4" s="5" t="inlineStr">
        <is>
          <t>FY2017</t>
        </is>
      </c>
    </row>
    <row r="5" ht="18.5" customHeight="1">
      <c r="A5" s="6" t="inlineStr">
        <is>
          <t>Total Revenue</t>
        </is>
      </c>
      <c r="B5" s="7" t="n">
        <v>5527.289</v>
      </c>
      <c r="C5" s="7" t="n">
        <v>5472.296</v>
      </c>
      <c r="D5" s="7" t="n">
        <v>4985.612</v>
      </c>
      <c r="E5" s="7" t="n">
        <v>4287.763</v>
      </c>
      <c r="F5" s="7" t="n">
        <v>3627.286</v>
      </c>
      <c r="G5" s="7" t="n">
        <v>3150.339</v>
      </c>
      <c r="H5" s="7" t="n">
        <v>2545.641</v>
      </c>
      <c r="I5" s="7" t="n">
        <v>2132.689</v>
      </c>
      <c r="J5" s="7" t="n">
        <v>2020.437</v>
      </c>
      <c r="K5" s="7" t="n">
        <v>1903.339</v>
      </c>
      <c r="L5" s="7" t="n">
        <v>1790.147</v>
      </c>
    </row>
    <row r="6" ht="18.5" customHeight="1">
      <c r="A6" s="6" t="inlineStr">
        <is>
          <t>Cost of Revenue</t>
        </is>
      </c>
      <c r="B6" s="7" t="n">
        <v>2332.306</v>
      </c>
      <c r="C6" s="7" t="n">
        <v>2314.57</v>
      </c>
      <c r="D6" s="7" t="n">
        <v>2099.949</v>
      </c>
      <c r="E6" s="7" t="n">
        <v>1902.275</v>
      </c>
      <c r="F6" s="7" t="n">
        <v>1801.916</v>
      </c>
      <c r="G6" s="7" t="n">
        <v>1542.788</v>
      </c>
      <c r="H6" s="7" t="n">
        <v>1171.551</v>
      </c>
      <c r="I6" s="7" t="n">
        <v>1029.016</v>
      </c>
      <c r="J6" s="7" t="n">
        <v>980.187</v>
      </c>
      <c r="K6" s="7" t="n">
        <v>971.697</v>
      </c>
      <c r="L6" s="7" t="n">
        <v>954.912</v>
      </c>
    </row>
    <row r="7" ht="18.5" customHeight="1">
      <c r="A7" s="6" t="inlineStr">
        <is>
          <t>Selling, General and Administrative Expense</t>
        </is>
      </c>
      <c r="B7" s="7" t="n">
        <v>1942.066</v>
      </c>
      <c r="C7" s="7" t="n">
        <v>1894.823</v>
      </c>
      <c r="D7" s="7" t="n">
        <v>1706.571</v>
      </c>
      <c r="E7" s="7" t="n">
        <v>1457.974</v>
      </c>
      <c r="F7" s="7" t="n">
        <v>1172.619</v>
      </c>
      <c r="G7" s="7" t="n">
        <v>1042.844</v>
      </c>
      <c r="H7" s="7" t="n">
        <v>869.885</v>
      </c>
      <c r="I7" s="7" t="n">
        <v>765.538</v>
      </c>
      <c r="J7" s="7" t="n">
        <v>712.9299999999999</v>
      </c>
      <c r="K7" s="7" t="n">
        <v>709.058</v>
      </c>
      <c r="L7" s="7" t="n">
        <v>837.154</v>
      </c>
    </row>
    <row r="8" ht="18.5" customHeight="1">
      <c r="A8" s="8" t="inlineStr">
        <is>
          <t>Operating Income (Loss)</t>
        </is>
      </c>
      <c r="B8" s="9" t="n">
        <v>1252.917</v>
      </c>
      <c r="C8" s="9" t="n">
        <v>1262.903</v>
      </c>
      <c r="D8" s="9" t="n">
        <v>1179.092</v>
      </c>
      <c r="E8" s="9" t="n">
        <v>927.514</v>
      </c>
      <c r="F8" s="9" t="n">
        <v>652.751</v>
      </c>
      <c r="G8" s="9" t="n">
        <v>564.707</v>
      </c>
      <c r="H8" s="9" t="n">
        <v>504.205</v>
      </c>
      <c r="I8" s="9" t="n">
        <v>338.135</v>
      </c>
      <c r="J8" s="9" t="n">
        <v>327.32</v>
      </c>
      <c r="K8" s="9" t="n">
        <v>222.584</v>
      </c>
      <c r="L8" s="9" t="n">
        <v>-1.919</v>
      </c>
    </row>
    <row r="9" ht="18.5" customHeight="1">
      <c r="A9" s="6" t="inlineStr">
        <is>
          <t>Other Nonoperating Income (Expense)</t>
        </is>
      </c>
      <c r="B9" s="7" t="n">
        <v>2.28</v>
      </c>
      <c r="C9" s="7" t="n">
        <v>2.37</v>
      </c>
      <c r="D9" s="7" t="n">
        <v>-0.665</v>
      </c>
      <c r="E9" s="7" t="n">
        <v>1.783</v>
      </c>
      <c r="F9" s="7" t="n">
        <v>1.21</v>
      </c>
      <c r="G9" s="7" t="n">
        <v>0.113</v>
      </c>
      <c r="H9" s="7" t="n">
        <v>0.7</v>
      </c>
      <c r="I9" s="7" t="n">
        <v>0.516</v>
      </c>
      <c r="J9" s="7" t="n">
        <v>0.247</v>
      </c>
      <c r="K9" s="7" t="n">
        <v>-0.36</v>
      </c>
      <c r="L9" s="7" t="n">
        <v>1.474</v>
      </c>
    </row>
    <row r="10" ht="18.5" customHeight="1">
      <c r="A10" s="6" t="inlineStr">
        <is>
          <t>Income Tax Expense (Benefit)</t>
        </is>
      </c>
      <c r="B10" s="7" t="n">
        <v>297.5</v>
      </c>
      <c r="C10" s="7" t="n">
        <v>302.285</v>
      </c>
      <c r="D10" s="7" t="n">
        <v>277.208</v>
      </c>
      <c r="E10" s="7" t="n">
        <v>219.378</v>
      </c>
      <c r="F10" s="7" t="n">
        <v>149.26</v>
      </c>
      <c r="G10" s="7" t="n">
        <v>112.689</v>
      </c>
      <c r="H10" s="7" t="n">
        <v>118.939</v>
      </c>
      <c r="I10" s="7" t="n">
        <v>64.724</v>
      </c>
      <c r="J10" s="7" t="n">
        <v>64.626</v>
      </c>
      <c r="K10" s="7" t="n">
        <v>106.302</v>
      </c>
      <c r="L10" s="7" t="n">
        <v>-12.696</v>
      </c>
    </row>
    <row r="11" ht="18.5" customHeight="1">
      <c r="A11" s="8" t="inlineStr">
        <is>
          <t>Net Income (Loss) Attributable to Parent</t>
        </is>
      </c>
      <c r="B11" s="9" t="n">
        <v>1014.84</v>
      </c>
      <c r="C11" s="9" t="n">
        <v>1024.071</v>
      </c>
      <c r="D11" s="9" t="n">
        <v>966.091</v>
      </c>
      <c r="E11" s="9" t="n">
        <v>759.563</v>
      </c>
      <c r="F11" s="9" t="n">
        <v>516.822</v>
      </c>
      <c r="G11" s="9" t="n">
        <v>451.949</v>
      </c>
      <c r="H11" s="9" t="n">
        <v>382.575</v>
      </c>
      <c r="I11" s="9" t="n">
        <v>276.142</v>
      </c>
      <c r="J11" s="9" t="n">
        <v>264.308</v>
      </c>
      <c r="K11" s="9" t="n">
        <v>114.394</v>
      </c>
      <c r="L11" s="22" t="inlineStr">
        <is>
          <t>-</t>
        </is>
      </c>
    </row>
    <row r="12" ht="18.5" customHeight="1">
      <c r="A12" s="8" t="inlineStr">
        <is>
          <t>Earnings Per Share, Basic</t>
        </is>
      </c>
      <c r="B12" s="14" t="n">
        <v>7.050000000000001</v>
      </c>
      <c r="C12" s="14" t="n">
        <v>7.04</v>
      </c>
      <c r="D12" s="14" t="n">
        <v>6.36</v>
      </c>
      <c r="E12" s="14" t="n">
        <v>29.36</v>
      </c>
      <c r="F12" s="14" t="n">
        <v>19.5</v>
      </c>
      <c r="G12" s="14" t="n">
        <v>16.43</v>
      </c>
      <c r="H12" s="14" t="n">
        <v>13.64</v>
      </c>
      <c r="I12" s="14" t="n">
        <v>9.73</v>
      </c>
      <c r="J12" s="14" t="n">
        <v>8.92</v>
      </c>
      <c r="K12" s="14" t="n">
        <v>3.6</v>
      </c>
      <c r="L12" s="14" t="n">
        <v>0.18</v>
      </c>
    </row>
    <row r="13" ht="18.5" customHeight="1">
      <c r="A13" s="8" t="inlineStr">
        <is>
          <t>Earnings Per Share, Diluted</t>
        </is>
      </c>
      <c r="B13" s="14" t="n">
        <v>7.029999999999999</v>
      </c>
      <c r="C13" s="14" t="n">
        <v>7.02</v>
      </c>
      <c r="D13" s="14" t="n">
        <v>6.33</v>
      </c>
      <c r="E13" s="14" t="n">
        <v>29.16</v>
      </c>
      <c r="F13" s="14" t="n">
        <v>19.37</v>
      </c>
      <c r="G13" s="14" t="n">
        <v>16.26</v>
      </c>
      <c r="H13" s="14" t="n">
        <v>13.47</v>
      </c>
      <c r="I13" s="14" t="n">
        <v>9.619999999999999</v>
      </c>
      <c r="J13" s="14" t="n">
        <v>8.84</v>
      </c>
      <c r="K13" s="14" t="n">
        <v>3.58</v>
      </c>
      <c r="L13" s="14" t="n">
        <v>0.18</v>
      </c>
    </row>
    <row r="14" ht="18.5" customHeight="1">
      <c r="A14" s="6" t="inlineStr">
        <is>
          <t>Weighted Average Number of Shares Outstanding, Basic</t>
        </is>
      </c>
      <c r="B14" s="17" t="n">
        <v>138.263</v>
      </c>
      <c r="C14" s="17" t="n">
        <v>145.498</v>
      </c>
      <c r="D14" s="17" t="n">
        <v>151.992</v>
      </c>
      <c r="E14" s="17" t="n">
        <v>25.871</v>
      </c>
      <c r="F14" s="17" t="n">
        <v>26.504</v>
      </c>
      <c r="G14" s="17" t="n">
        <v>27.508</v>
      </c>
      <c r="H14" s="17" t="n">
        <v>28.055</v>
      </c>
      <c r="I14" s="17" t="n">
        <v>28.385</v>
      </c>
      <c r="J14" s="17" t="n">
        <v>29.641</v>
      </c>
      <c r="K14" s="17" t="n">
        <v>31.758</v>
      </c>
      <c r="L14" s="17" t="n">
        <v>32</v>
      </c>
    </row>
    <row r="15" ht="18.5" customHeight="1">
      <c r="A15" s="6" t="inlineStr">
        <is>
          <t>Weighted Average Number of Shares Outstanding, Diluted</t>
        </is>
      </c>
      <c r="B15" s="17" t="n">
        <v>138.559</v>
      </c>
      <c r="C15" s="17" t="n">
        <v>145.805</v>
      </c>
      <c r="D15" s="17" t="n">
        <v>152.67</v>
      </c>
      <c r="E15" s="17" t="n">
        <v>26.048</v>
      </c>
      <c r="F15" s="17" t="n">
        <v>26.686</v>
      </c>
      <c r="G15" s="17" t="n">
        <v>27.789</v>
      </c>
      <c r="H15" s="17" t="n">
        <v>28.406</v>
      </c>
      <c r="I15" s="17" t="n">
        <v>28.694</v>
      </c>
      <c r="J15" s="17" t="n">
        <v>29.903</v>
      </c>
      <c r="K15" s="17" t="n">
        <v>31.996</v>
      </c>
      <c r="L15" s="17" t="n">
        <v>32.355</v>
      </c>
    </row>
    <row r="16" ht="18.5" customHeight="1">
      <c r="A16" s="6" t="inlineStr">
        <is>
          <t>Interest Expense (non-operating)</t>
        </is>
      </c>
      <c r="B16" s="7" t="n">
        <v>3.822</v>
      </c>
      <c r="C16" s="7" t="n">
        <v>2.53</v>
      </c>
      <c r="D16" s="7" t="n">
        <v>3.517</v>
      </c>
      <c r="E16" s="23" t="inlineStr">
        <is>
          <t>-</t>
        </is>
      </c>
      <c r="F16" s="23" t="inlineStr">
        <is>
          <t>-</t>
        </is>
      </c>
      <c r="G16" s="23" t="inlineStr">
        <is>
          <t>-</t>
        </is>
      </c>
      <c r="H16" s="23" t="inlineStr">
        <is>
          <t>-</t>
        </is>
      </c>
      <c r="I16" s="23" t="inlineStr">
        <is>
          <t>-</t>
        </is>
      </c>
      <c r="J16" s="23" t="inlineStr">
        <is>
          <t>-</t>
        </is>
      </c>
      <c r="K16" s="23" t="inlineStr">
        <is>
          <t>-</t>
        </is>
      </c>
      <c r="L16" s="23" t="inlineStr">
        <is>
          <t>-</t>
        </is>
      </c>
    </row>
    <row r="17" ht="18.5" customHeight="1">
      <c r="A17" s="6" t="inlineStr">
        <is>
          <t>Additional Financial Items</t>
        </is>
      </c>
      <c r="B17" s="23" t="inlineStr">
        <is>
          <t>-</t>
        </is>
      </c>
      <c r="C17" s="23" t="inlineStr">
        <is>
          <t>-</t>
        </is>
      </c>
      <c r="D17" s="23" t="inlineStr">
        <is>
          <t>-</t>
        </is>
      </c>
      <c r="E17" s="23" t="inlineStr">
        <is>
          <t>-</t>
        </is>
      </c>
      <c r="F17" s="23" t="inlineStr">
        <is>
          <t>-</t>
        </is>
      </c>
      <c r="G17" s="23" t="inlineStr">
        <is>
          <t>-</t>
        </is>
      </c>
      <c r="H17" s="23" t="inlineStr">
        <is>
          <t>-</t>
        </is>
      </c>
      <c r="I17" s="23" t="inlineStr">
        <is>
          <t>-</t>
        </is>
      </c>
      <c r="J17" s="23" t="inlineStr">
        <is>
          <t>-</t>
        </is>
      </c>
      <c r="K17" s="23" t="inlineStr">
        <is>
          <t>-</t>
        </is>
      </c>
      <c r="L17" s="23" t="inlineStr">
        <is>
          <t>-</t>
        </is>
      </c>
    </row>
    <row r="18" ht="18.5" customHeight="1">
      <c r="A18" s="6" t="inlineStr">
        <is>
          <t>Amortization of Intangible Assets</t>
        </is>
      </c>
      <c r="B18" s="23" t="inlineStr">
        <is>
          <t>-</t>
        </is>
      </c>
      <c r="C18" s="23" t="inlineStr">
        <is>
          <t>-</t>
        </is>
      </c>
      <c r="D18" s="7" t="n">
        <v>0.847</v>
      </c>
      <c r="E18" s="7" t="n">
        <v>2.208</v>
      </c>
      <c r="F18" s="7" t="n">
        <v>2.228</v>
      </c>
      <c r="G18" s="7" t="n">
        <v>2.248</v>
      </c>
      <c r="H18" s="7" t="n">
        <v>2.565</v>
      </c>
      <c r="I18" s="7" t="n">
        <v>3.47</v>
      </c>
      <c r="J18" s="7" t="n">
        <v>6.235</v>
      </c>
      <c r="K18" s="7" t="n">
        <v>7.807</v>
      </c>
      <c r="L18" s="7" t="n">
        <v>7.945</v>
      </c>
    </row>
    <row r="19" ht="18.5" customHeight="1">
      <c r="A19" s="6" t="inlineStr">
        <is>
          <t>Cost of Goods Sold (Deprecated 2018-01-31)</t>
        </is>
      </c>
      <c r="B19" s="23" t="inlineStr">
        <is>
          <t>-</t>
        </is>
      </c>
      <c r="C19" s="23" t="inlineStr">
        <is>
          <t>-</t>
        </is>
      </c>
      <c r="D19" s="23" t="inlineStr">
        <is>
          <t>-</t>
        </is>
      </c>
      <c r="E19" s="23" t="inlineStr">
        <is>
          <t>-</t>
        </is>
      </c>
      <c r="F19" s="23" t="inlineStr">
        <is>
          <t>-</t>
        </is>
      </c>
      <c r="G19" s="23" t="inlineStr">
        <is>
          <t>-</t>
        </is>
      </c>
      <c r="H19" s="23" t="inlineStr">
        <is>
          <t>-</t>
        </is>
      </c>
      <c r="I19" s="23" t="inlineStr">
        <is>
          <t>-</t>
        </is>
      </c>
      <c r="J19" s="23" t="inlineStr">
        <is>
          <t>-</t>
        </is>
      </c>
      <c r="K19" s="7" t="n">
        <v>971.697</v>
      </c>
      <c r="L19" s="7" t="n">
        <v>954.912</v>
      </c>
    </row>
    <row r="20" ht="18.5" customHeight="1">
      <c r="A20" s="6" t="inlineStr">
        <is>
          <t>Cost of Goods and Services Sold</t>
        </is>
      </c>
      <c r="B20" s="7" t="n">
        <v>2314.57</v>
      </c>
      <c r="C20" s="7" t="n">
        <v>2314.57</v>
      </c>
      <c r="D20" s="7" t="n">
        <v>2099.949</v>
      </c>
      <c r="E20" s="7" t="n">
        <v>1902.275</v>
      </c>
      <c r="F20" s="7" t="n">
        <v>1801.916</v>
      </c>
      <c r="G20" s="7" t="n">
        <v>1542.788</v>
      </c>
      <c r="H20" s="7" t="n">
        <v>1171.551</v>
      </c>
      <c r="I20" s="7" t="n">
        <v>1029.016</v>
      </c>
      <c r="J20" s="7" t="n">
        <v>980.187</v>
      </c>
      <c r="K20" s="7" t="n">
        <v>971.697</v>
      </c>
      <c r="L20" s="7" t="n">
        <v>954.912</v>
      </c>
    </row>
    <row r="21" ht="18.5" customHeight="1">
      <c r="A21" s="6" t="inlineStr">
        <is>
          <t>Current Income Tax Expense (Benefit)</t>
        </is>
      </c>
      <c r="B21" s="7" t="n">
        <v>293.501</v>
      </c>
      <c r="C21" s="7" t="n">
        <v>293.501</v>
      </c>
      <c r="D21" s="7" t="n">
        <v>282.753</v>
      </c>
      <c r="E21" s="7" t="n">
        <v>220.888</v>
      </c>
      <c r="F21" s="7" t="n">
        <v>158.979</v>
      </c>
      <c r="G21" s="7" t="n">
        <v>140.485</v>
      </c>
      <c r="H21" s="7" t="n">
        <v>127.11</v>
      </c>
      <c r="I21" s="7" t="n">
        <v>61.79</v>
      </c>
      <c r="J21" s="7" t="n">
        <v>57.687</v>
      </c>
      <c r="K21" s="7" t="n">
        <v>98.164</v>
      </c>
      <c r="L21" s="7" t="n">
        <v>11.799</v>
      </c>
    </row>
    <row r="22" ht="18.5" customHeight="1">
      <c r="A22" s="6" t="inlineStr">
        <is>
          <t>Goodwill, Impairment Loss</t>
        </is>
      </c>
      <c r="B22" s="23" t="inlineStr">
        <is>
          <t>-</t>
        </is>
      </c>
      <c r="C22" s="23" t="inlineStr">
        <is>
          <t>-</t>
        </is>
      </c>
      <c r="D22" s="23" t="inlineStr">
        <is>
          <t>-</t>
        </is>
      </c>
      <c r="E22" s="23" t="inlineStr">
        <is>
          <t>-</t>
        </is>
      </c>
      <c r="F22" s="23" t="inlineStr">
        <is>
          <t>-</t>
        </is>
      </c>
      <c r="G22" s="23" t="inlineStr">
        <is>
          <t>-</t>
        </is>
      </c>
      <c r="H22" s="23" t="inlineStr">
        <is>
          <t>-</t>
        </is>
      </c>
      <c r="I22" s="23" t="inlineStr">
        <is>
          <t>-</t>
        </is>
      </c>
      <c r="J22" s="7" t="n">
        <v>0</v>
      </c>
      <c r="K22" s="7" t="n">
        <v>0</v>
      </c>
      <c r="L22" s="7" t="n">
        <v>113.944</v>
      </c>
    </row>
    <row r="23" ht="18.5" customHeight="1">
      <c r="A23" s="8" t="inlineStr">
        <is>
          <t>Gross Profit</t>
        </is>
      </c>
      <c r="B23" s="9" t="n">
        <v>3194.983</v>
      </c>
      <c r="C23" s="9" t="n">
        <v>3157.726</v>
      </c>
      <c r="D23" s="9" t="n">
        <v>2885.663</v>
      </c>
      <c r="E23" s="9" t="n">
        <v>2385.488</v>
      </c>
      <c r="F23" s="9" t="n">
        <v>1825.37</v>
      </c>
      <c r="G23" s="9" t="n">
        <v>1607.551</v>
      </c>
      <c r="H23" s="9" t="n">
        <v>1374.09</v>
      </c>
      <c r="I23" s="9" t="n">
        <v>1103.673</v>
      </c>
      <c r="J23" s="9" t="n">
        <v>1040.25</v>
      </c>
      <c r="K23" s="9" t="n">
        <v>931.6420000000001</v>
      </c>
      <c r="L23" s="9" t="n">
        <v>835.235</v>
      </c>
    </row>
    <row r="24" ht="18.5" customHeight="1">
      <c r="A24" s="6" t="inlineStr">
        <is>
          <t>Income (Loss) Attributable to Parent, before Tax</t>
        </is>
      </c>
      <c r="B24" s="7" t="n">
        <v>1312.34</v>
      </c>
      <c r="C24" s="7" t="n">
        <v>1326.356</v>
      </c>
      <c r="D24" s="7" t="n">
        <v>1243.299</v>
      </c>
      <c r="E24" s="7" t="n">
        <v>978.941</v>
      </c>
      <c r="F24" s="7" t="n">
        <v>666.082</v>
      </c>
      <c r="G24" s="7" t="n">
        <v>564.638</v>
      </c>
      <c r="H24" s="7" t="n">
        <v>501.514</v>
      </c>
      <c r="I24" s="7" t="n">
        <v>340.866</v>
      </c>
      <c r="J24" s="7" t="n">
        <v>328.934</v>
      </c>
      <c r="K24" s="23" t="inlineStr">
        <is>
          <t>-</t>
        </is>
      </c>
      <c r="L24" s="23" t="inlineStr">
        <is>
          <t>-</t>
        </is>
      </c>
    </row>
    <row r="25" ht="18.5" customHeight="1">
      <c r="A25" s="6" t="inlineStr">
        <is>
          <t>Income (Loss) from Continuing Operations before Income Taxes, Domestic</t>
        </is>
      </c>
      <c r="B25" s="7" t="n">
        <v>1084.446</v>
      </c>
      <c r="C25" s="7" t="n">
        <v>1084.446</v>
      </c>
      <c r="D25" s="7" t="n">
        <v>1033.428</v>
      </c>
      <c r="E25" s="7" t="n">
        <v>688.981</v>
      </c>
      <c r="F25" s="7" t="n">
        <v>467.231</v>
      </c>
      <c r="G25" s="7" t="n">
        <v>396.368</v>
      </c>
      <c r="H25" s="7" t="n">
        <v>368.328</v>
      </c>
      <c r="I25" s="7" t="n">
        <v>206.111</v>
      </c>
      <c r="J25" s="7" t="n">
        <v>181.73</v>
      </c>
      <c r="K25" s="7" t="n">
        <v>321.482</v>
      </c>
      <c r="L25" s="7" t="n">
        <v>-56.305</v>
      </c>
    </row>
    <row r="26" ht="18.5" customHeight="1">
      <c r="A26" s="6" t="inlineStr">
        <is>
          <t>Investment Income, Interest</t>
        </is>
      </c>
      <c r="B26" s="7" t="n">
        <v>66.441</v>
      </c>
      <c r="C26" s="7" t="n">
        <v>63.613</v>
      </c>
      <c r="D26" s="7" t="n">
        <v>68.389</v>
      </c>
      <c r="E26" s="7" t="n">
        <v>52.208</v>
      </c>
      <c r="F26" s="7" t="n">
        <v>15.563</v>
      </c>
      <c r="G26" s="7" t="n">
        <v>1.901</v>
      </c>
      <c r="H26" s="7" t="n">
        <v>2.637</v>
      </c>
      <c r="I26" s="7" t="n">
        <v>7.261</v>
      </c>
      <c r="J26" s="7" t="n">
        <v>6.028</v>
      </c>
      <c r="K26" s="7" t="n">
        <v>3.057</v>
      </c>
      <c r="L26" s="7" t="n">
        <v>0.778</v>
      </c>
    </row>
    <row r="27" ht="18.5" customHeight="1">
      <c r="A27" s="6" t="inlineStr">
        <is>
          <t>Labor and Related Expense</t>
        </is>
      </c>
      <c r="B27" s="7" t="n">
        <v>318.17</v>
      </c>
      <c r="C27" s="7" t="n">
        <v>307.073</v>
      </c>
      <c r="D27" s="7" t="n">
        <v>265.328</v>
      </c>
      <c r="E27" s="23" t="inlineStr">
        <is>
          <t>-</t>
        </is>
      </c>
      <c r="F27" s="23" t="inlineStr">
        <is>
          <t>-</t>
        </is>
      </c>
      <c r="G27" s="23" t="inlineStr">
        <is>
          <t>-</t>
        </is>
      </c>
      <c r="H27" s="23" t="inlineStr">
        <is>
          <t>-</t>
        </is>
      </c>
      <c r="I27" s="23" t="inlineStr">
        <is>
          <t>-</t>
        </is>
      </c>
      <c r="J27" s="23" t="inlineStr">
        <is>
          <t>-</t>
        </is>
      </c>
      <c r="K27" s="23" t="inlineStr">
        <is>
          <t>-</t>
        </is>
      </c>
      <c r="L27" s="23" t="inlineStr">
        <is>
          <t>-</t>
        </is>
      </c>
    </row>
    <row r="28" ht="18.5" customHeight="1">
      <c r="A28" s="6" t="inlineStr">
        <is>
          <t>Marketing and Advertising Expense</t>
        </is>
      </c>
      <c r="B28" s="7" t="n">
        <v>506.174</v>
      </c>
      <c r="C28" s="7" t="n">
        <v>495.838</v>
      </c>
      <c r="D28" s="7" t="n">
        <v>432.198</v>
      </c>
      <c r="E28" s="7" t="n">
        <v>348.852</v>
      </c>
      <c r="F28" s="7" t="n">
        <v>271.14</v>
      </c>
      <c r="G28" s="7" t="n">
        <v>255.881</v>
      </c>
      <c r="H28" s="7" t="n">
        <v>188.345</v>
      </c>
      <c r="I28" s="7" t="n">
        <v>144.948</v>
      </c>
      <c r="J28" s="7" t="n">
        <v>118.291</v>
      </c>
      <c r="K28" s="7" t="n">
        <v>111.658</v>
      </c>
      <c r="L28" s="7" t="n">
        <v>109.579</v>
      </c>
    </row>
    <row r="29" ht="18.5" customHeight="1">
      <c r="A29" s="6" t="inlineStr">
        <is>
          <t>Nonoperating Income (Expense)</t>
        </is>
      </c>
      <c r="B29" s="7" t="n">
        <v>63.363</v>
      </c>
      <c r="C29" s="7" t="n">
        <v>63.453</v>
      </c>
      <c r="D29" s="7" t="n">
        <v>64.20699999999999</v>
      </c>
      <c r="E29" s="7" t="n">
        <v>51.427</v>
      </c>
      <c r="F29" s="7" t="n">
        <v>13.331</v>
      </c>
      <c r="G29" s="7" t="n">
        <v>-0.06900000000000001</v>
      </c>
      <c r="H29" s="7" t="n">
        <v>-2.691</v>
      </c>
      <c r="I29" s="7" t="n">
        <v>2.731</v>
      </c>
      <c r="J29" s="7" t="n">
        <v>1.614</v>
      </c>
      <c r="K29" s="7" t="n">
        <v>-1.888</v>
      </c>
      <c r="L29" s="7" t="n">
        <v>-5.067</v>
      </c>
    </row>
    <row r="30" ht="18.5" customHeight="1">
      <c r="A30" s="6" t="inlineStr">
        <is>
          <t>Research and Development Expense</t>
        </is>
      </c>
      <c r="B30" s="7" t="n">
        <v>68.899</v>
      </c>
      <c r="C30" s="7" t="n">
        <v>68.899</v>
      </c>
      <c r="D30" s="7" t="n">
        <v>56.676</v>
      </c>
      <c r="E30" s="7" t="n">
        <v>49.171</v>
      </c>
      <c r="F30" s="7" t="n">
        <v>38.657</v>
      </c>
      <c r="G30" s="7" t="n">
        <v>33.344</v>
      </c>
      <c r="H30" s="7" t="n">
        <v>28.626</v>
      </c>
      <c r="I30" s="7" t="n">
        <v>27.555</v>
      </c>
      <c r="J30" s="7" t="n">
        <v>23.187</v>
      </c>
      <c r="K30" s="7" t="n">
        <v>22.372</v>
      </c>
      <c r="L30" s="7" t="n">
        <v>21.256</v>
      </c>
    </row>
    <row r="31" ht="18.5" customHeight="1">
      <c r="A31" s="6" t="inlineStr">
        <is>
          <t>Sales Revenue, Goods, Net (Deprecated 2018-01-31)</t>
        </is>
      </c>
      <c r="B31" s="23" t="inlineStr">
        <is>
          <t>-</t>
        </is>
      </c>
      <c r="C31" s="23" t="inlineStr">
        <is>
          <t>-</t>
        </is>
      </c>
      <c r="D31" s="23" t="inlineStr">
        <is>
          <t>-</t>
        </is>
      </c>
      <c r="E31" s="23" t="inlineStr">
        <is>
          <t>-</t>
        </is>
      </c>
      <c r="F31" s="23" t="inlineStr">
        <is>
          <t>-</t>
        </is>
      </c>
      <c r="G31" s="23" t="inlineStr">
        <is>
          <t>-</t>
        </is>
      </c>
      <c r="H31" s="23" t="inlineStr">
        <is>
          <t>-</t>
        </is>
      </c>
      <c r="I31" s="23" t="inlineStr">
        <is>
          <t>-</t>
        </is>
      </c>
      <c r="J31" s="23" t="inlineStr">
        <is>
          <t>-</t>
        </is>
      </c>
      <c r="K31" s="7" t="n">
        <v>1903.339</v>
      </c>
      <c r="L31" s="7" t="n">
        <v>1790.147</v>
      </c>
    </row>
    <row r="32" ht="10" customHeight="1"/>
    <row r="33" ht="22" customHeight="1">
      <c r="A33" s="18" t="inlineStr">
        <is>
          <t>INFORMACIÓN POR ACCIÓN NORMALIZADA (SPLIT-ADJUSTED)</t>
        </is>
      </c>
      <c r="B33" s="19" t="n"/>
      <c r="C33" s="19" t="n"/>
      <c r="D33" s="19" t="n"/>
      <c r="E33" s="19" t="n"/>
      <c r="F33" s="19" t="n"/>
      <c r="G33" s="19" t="n"/>
      <c r="H33" s="19" t="n"/>
      <c r="I33" s="19" t="n"/>
      <c r="J33" s="19" t="n"/>
      <c r="K33" s="19" t="n"/>
      <c r="L33" s="19" t="n"/>
    </row>
    <row r="34" ht="18.5" customHeight="1">
      <c r="A34" s="8" t="inlineStr">
        <is>
          <t xml:space="preserve">   BPA Diluido Normalizado (Split-Adjusted)</t>
        </is>
      </c>
      <c r="B34" s="14" t="n">
        <v>7.32</v>
      </c>
      <c r="C34" s="14" t="n">
        <v>7.02</v>
      </c>
      <c r="D34" s="14" t="n">
        <v>6.33</v>
      </c>
      <c r="E34" s="14" t="n">
        <v>4.86</v>
      </c>
      <c r="F34" s="14" t="n">
        <v>3.23</v>
      </c>
      <c r="G34" s="14" t="n">
        <v>2.71</v>
      </c>
      <c r="H34" s="14" t="n">
        <v>2.24</v>
      </c>
      <c r="I34" s="14" t="n">
        <v>1.6</v>
      </c>
      <c r="J34" s="14" t="n">
        <v>1.47</v>
      </c>
      <c r="K34" s="14" t="n">
        <v>0.6</v>
      </c>
      <c r="L34" s="14" t="n">
        <v>-0.24</v>
      </c>
    </row>
    <row r="35" ht="18.5" customHeight="1">
      <c r="A35" s="6" t="inlineStr">
        <is>
          <t xml:space="preserve">   Acciones Diluidas Ponderadas (Millones)</t>
        </is>
      </c>
      <c r="B35" s="17" t="n">
        <v>138.559</v>
      </c>
      <c r="C35" s="17" t="n">
        <v>145.805</v>
      </c>
      <c r="D35" s="17" t="n">
        <v>152.67</v>
      </c>
      <c r="E35" s="17" t="n">
        <v>156.288</v>
      </c>
      <c r="F35" s="17" t="n">
        <v>160.116</v>
      </c>
      <c r="G35" s="17" t="n">
        <v>166.734</v>
      </c>
      <c r="H35" s="17" t="n">
        <v>170.436</v>
      </c>
      <c r="I35" s="17" t="n">
        <v>172.164</v>
      </c>
      <c r="J35" s="17" t="n">
        <v>179.418</v>
      </c>
      <c r="K35" s="17" t="n">
        <v>191.976</v>
      </c>
      <c r="L35" s="17" t="n">
        <v>194.13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9"/>
  <sheetViews>
    <sheetView showGridLines="1"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DECKERS OUTDOOR CORP (DECK) - Balance Patrimonial Oficial</t>
        </is>
      </c>
    </row>
    <row r="2" ht="18" customHeight="1">
      <c r="A2" s="2" t="inlineStr">
        <is>
          <t>Cifras expresadas en Millones de USD ($M) | Estructura contable de Activos, Pasivos y Patrimonio</t>
        </is>
      </c>
    </row>
    <row r="3" ht="8" customHeight="1"/>
    <row r="4" ht="25" customHeight="1">
      <c r="A4" s="3" t="inlineStr">
        <is>
          <t>Concepto Patrimonial</t>
        </is>
      </c>
      <c r="B4" s="4" t="inlineStr">
        <is>
          <t>LTM</t>
        </is>
      </c>
      <c r="C4" s="5" t="inlineStr">
        <is>
          <t>FY2026</t>
        </is>
      </c>
      <c r="D4" s="5" t="inlineStr">
        <is>
          <t>FY2025</t>
        </is>
      </c>
      <c r="E4" s="5" t="inlineStr">
        <is>
          <t>FY2024</t>
        </is>
      </c>
      <c r="F4" s="5" t="inlineStr">
        <is>
          <t>FY2023</t>
        </is>
      </c>
      <c r="G4" s="5" t="inlineStr">
        <is>
          <t>FY2022</t>
        </is>
      </c>
      <c r="H4" s="5" t="inlineStr">
        <is>
          <t>FY2021</t>
        </is>
      </c>
      <c r="I4" s="5" t="inlineStr">
        <is>
          <t>FY2020</t>
        </is>
      </c>
      <c r="J4" s="5" t="inlineStr">
        <is>
          <t>FY2019</t>
        </is>
      </c>
      <c r="K4" s="5" t="inlineStr">
        <is>
          <t>FY2018</t>
        </is>
      </c>
      <c r="L4" s="5" t="inlineStr">
        <is>
          <t>FY2017</t>
        </is>
      </c>
    </row>
    <row r="5" ht="22" customHeight="1">
      <c r="A5" s="18" t="inlineStr">
        <is>
          <t>ASSETS</t>
        </is>
      </c>
      <c r="B5" s="19" t="n"/>
      <c r="C5" s="19" t="n"/>
      <c r="D5" s="19" t="n"/>
      <c r="E5" s="19" t="n"/>
      <c r="F5" s="19" t="n"/>
      <c r="G5" s="19" t="n"/>
      <c r="H5" s="19" t="n"/>
      <c r="I5" s="19" t="n"/>
      <c r="J5" s="19" t="n"/>
      <c r="K5" s="19" t="n"/>
      <c r="L5" s="19" t="n"/>
    </row>
    <row r="6" ht="18.5" customHeight="1">
      <c r="A6" s="24" t="inlineStr">
        <is>
          <t xml:space="preserve">   Assets</t>
        </is>
      </c>
      <c r="B6" s="25" t="n">
        <v>3868.621</v>
      </c>
      <c r="C6" s="25" t="n">
        <v>3687.765</v>
      </c>
      <c r="D6" s="25" t="n">
        <v>3570.252</v>
      </c>
      <c r="E6" s="25" t="n">
        <v>3135.579</v>
      </c>
      <c r="F6" s="25" t="n">
        <v>2556.203</v>
      </c>
      <c r="G6" s="25" t="n">
        <v>2332.25</v>
      </c>
      <c r="H6" s="25" t="n">
        <v>2167.705</v>
      </c>
      <c r="I6" s="25" t="n">
        <v>1765.118</v>
      </c>
      <c r="J6" s="25" t="n">
        <v>1427.206</v>
      </c>
      <c r="K6" s="25" t="n">
        <v>1264.379</v>
      </c>
      <c r="L6" s="25" t="n">
        <v>1191.78</v>
      </c>
    </row>
    <row r="7" ht="18.5" customHeight="1">
      <c r="A7" s="6" t="inlineStr">
        <is>
          <t xml:space="preserve">   Property, Plant and Equipment, Net</t>
        </is>
      </c>
      <c r="B7" s="7" t="n">
        <v>337.75</v>
      </c>
      <c r="C7" s="7" t="n">
        <v>337.782</v>
      </c>
      <c r="D7" s="7" t="n">
        <v>325.599</v>
      </c>
      <c r="E7" s="7" t="n">
        <v>302.122</v>
      </c>
      <c r="F7" s="7" t="n">
        <v>266.679</v>
      </c>
      <c r="G7" s="7" t="n">
        <v>222.449</v>
      </c>
      <c r="H7" s="7" t="n">
        <v>206.21</v>
      </c>
      <c r="I7" s="7" t="n">
        <v>209.037</v>
      </c>
      <c r="J7" s="7" t="n">
        <v>213.796</v>
      </c>
      <c r="K7" s="7" t="n">
        <v>220.162</v>
      </c>
      <c r="L7" s="7" t="n">
        <v>225.531</v>
      </c>
    </row>
    <row r="8" ht="18.5" customHeight="1">
      <c r="A8" s="6" t="inlineStr">
        <is>
          <t xml:space="preserve">   Goodwill</t>
        </is>
      </c>
      <c r="B8" s="7" t="n">
        <v>13.99</v>
      </c>
      <c r="C8" s="7" t="n">
        <v>13.99</v>
      </c>
      <c r="D8" s="7" t="n">
        <v>13.99</v>
      </c>
      <c r="E8" s="7" t="n">
        <v>13.99</v>
      </c>
      <c r="F8" s="7" t="n">
        <v>13.99</v>
      </c>
      <c r="G8" s="7" t="n">
        <v>13.99</v>
      </c>
      <c r="H8" s="7" t="n">
        <v>13.99</v>
      </c>
      <c r="I8" s="7" t="n">
        <v>13.99</v>
      </c>
      <c r="J8" s="7" t="n">
        <v>13.99</v>
      </c>
      <c r="K8" s="7" t="n">
        <v>13.99</v>
      </c>
      <c r="L8" s="7" t="n">
        <v>13.99</v>
      </c>
    </row>
    <row r="9" ht="18.5" customHeight="1">
      <c r="A9" s="12" t="inlineStr">
        <is>
          <t xml:space="preserve">   Intangible Assets, Net (Excluding Goodwill)</t>
        </is>
      </c>
      <c r="B9" s="13" t="n">
        <v>15.635</v>
      </c>
      <c r="C9" s="13" t="n">
        <v>15.643</v>
      </c>
      <c r="D9" s="13" t="n">
        <v>15.699</v>
      </c>
      <c r="E9" s="13" t="n">
        <v>27.083</v>
      </c>
      <c r="F9" s="13" t="n">
        <v>37.457</v>
      </c>
      <c r="G9" s="13" t="n">
        <v>39.688</v>
      </c>
      <c r="H9" s="13" t="n">
        <v>41.945</v>
      </c>
      <c r="I9" s="13" t="n">
        <v>48.016</v>
      </c>
      <c r="J9" s="13" t="n">
        <v>51.494</v>
      </c>
      <c r="K9" s="13" t="n">
        <v>57.85</v>
      </c>
      <c r="L9" s="13" t="n">
        <v>65.13800000000001</v>
      </c>
    </row>
    <row r="10" ht="22" customHeight="1">
      <c r="A10" s="18" t="inlineStr">
        <is>
          <t>Current assets:</t>
        </is>
      </c>
      <c r="B10" s="19" t="n"/>
      <c r="C10" s="19" t="n"/>
      <c r="D10" s="19" t="n"/>
      <c r="E10" s="19" t="n"/>
      <c r="F10" s="19" t="n"/>
      <c r="G10" s="19" t="n"/>
      <c r="H10" s="19" t="n"/>
      <c r="I10" s="19" t="n"/>
      <c r="J10" s="19" t="n"/>
      <c r="K10" s="19" t="n"/>
      <c r="L10" s="19" t="n"/>
    </row>
    <row r="11" ht="18.5" customHeight="1">
      <c r="A11" s="6" t="inlineStr">
        <is>
          <t xml:space="preserve">   Cash and Cash Equivalents, at Carrying Value</t>
        </is>
      </c>
      <c r="B11" s="7" t="n">
        <v>1602.589</v>
      </c>
      <c r="C11" s="7" t="n">
        <v>1907.249</v>
      </c>
      <c r="D11" s="7" t="n">
        <v>1889.188</v>
      </c>
      <c r="E11" s="7" t="n">
        <v>1502.051</v>
      </c>
      <c r="F11" s="7" t="n">
        <v>981.795</v>
      </c>
      <c r="G11" s="7" t="n">
        <v>843.527</v>
      </c>
      <c r="H11" s="7" t="n">
        <v>1089.361</v>
      </c>
      <c r="I11" s="7" t="n">
        <v>649.436</v>
      </c>
      <c r="J11" s="23" t="inlineStr">
        <is>
          <t>-</t>
        </is>
      </c>
      <c r="K11" s="7" t="n">
        <v>429.97</v>
      </c>
      <c r="L11" s="7" t="n">
        <v>291.764</v>
      </c>
    </row>
    <row r="12" ht="18.5" customHeight="1">
      <c r="A12" s="6" t="inlineStr">
        <is>
          <t xml:space="preserve">   Accounts Receivable, after Allowance for Credit Loss, Current</t>
        </is>
      </c>
      <c r="B12" s="7" t="n">
        <v>378.348</v>
      </c>
      <c r="C12" s="7" t="n">
        <v>318.978</v>
      </c>
      <c r="D12" s="7" t="n">
        <v>332.872</v>
      </c>
      <c r="E12" s="7" t="n">
        <v>296.565</v>
      </c>
      <c r="F12" s="7" t="n">
        <v>301.511</v>
      </c>
      <c r="G12" s="7" t="n">
        <v>302.688</v>
      </c>
      <c r="H12" s="7" t="n">
        <v>215.718</v>
      </c>
      <c r="I12" s="7" t="n">
        <v>185.596</v>
      </c>
      <c r="J12" s="7" t="n">
        <v>178.602</v>
      </c>
      <c r="K12" s="7" t="n">
        <v>143.704</v>
      </c>
      <c r="L12" s="7" t="n">
        <v>158.643</v>
      </c>
    </row>
    <row r="13" ht="18.5" customHeight="1">
      <c r="A13" s="6" t="inlineStr">
        <is>
          <t xml:space="preserve">   Inventory, Net</t>
        </is>
      </c>
      <c r="B13" s="7" t="n">
        <v>807.58</v>
      </c>
      <c r="C13" s="7" t="n">
        <v>487.018</v>
      </c>
      <c r="D13" s="7" t="n">
        <v>495.226</v>
      </c>
      <c r="E13" s="7" t="n">
        <v>474.311</v>
      </c>
      <c r="F13" s="7" t="n">
        <v>532.852</v>
      </c>
      <c r="G13" s="7" t="n">
        <v>506.796</v>
      </c>
      <c r="H13" s="7" t="n">
        <v>278.242</v>
      </c>
      <c r="I13" s="7" t="n">
        <v>311.62</v>
      </c>
      <c r="J13" s="7" t="n">
        <v>278.842</v>
      </c>
      <c r="K13" s="7" t="n">
        <v>299.602</v>
      </c>
      <c r="L13" s="7" t="n">
        <v>298.851</v>
      </c>
    </row>
    <row r="14" ht="18.5" customHeight="1">
      <c r="A14" s="12" t="inlineStr">
        <is>
          <t xml:space="preserve">   Assets, Current</t>
        </is>
      </c>
      <c r="B14" s="13" t="n">
        <v>2922.029</v>
      </c>
      <c r="C14" s="13" t="n">
        <v>2850.42</v>
      </c>
      <c r="D14" s="13" t="n">
        <v>2860.475</v>
      </c>
      <c r="E14" s="13" t="n">
        <v>2443.483</v>
      </c>
      <c r="F14" s="13" t="n">
        <v>1910.253</v>
      </c>
      <c r="G14" s="13" t="n">
        <v>1752.128</v>
      </c>
      <c r="H14" s="13" t="n">
        <v>1650.799</v>
      </c>
      <c r="I14" s="13" t="n">
        <v>1194.111</v>
      </c>
      <c r="J14" s="13" t="n">
        <v>1095.405</v>
      </c>
      <c r="K14" s="13" t="n">
        <v>910.6900000000001</v>
      </c>
      <c r="L14" s="13" t="n">
        <v>820.821</v>
      </c>
    </row>
    <row r="15" ht="18.5" customHeight="1">
      <c r="A15" s="6" t="inlineStr">
        <is>
          <t xml:space="preserve">   Operating Lease, Right-of-Use Asset</t>
        </is>
      </c>
      <c r="B15" s="7" t="n">
        <v>432.484</v>
      </c>
      <c r="C15" s="7" t="n">
        <v>335.098</v>
      </c>
      <c r="D15" s="7" t="n">
        <v>237.352</v>
      </c>
      <c r="E15" s="7" t="n">
        <v>225.669</v>
      </c>
      <c r="F15" s="7" t="n">
        <v>213.302</v>
      </c>
      <c r="G15" s="7" t="n">
        <v>182.459</v>
      </c>
      <c r="H15" s="7" t="n">
        <v>186.991</v>
      </c>
      <c r="I15" s="7" t="n">
        <v>243.522</v>
      </c>
      <c r="J15" s="23" t="inlineStr">
        <is>
          <t>-</t>
        </is>
      </c>
      <c r="K15" s="23" t="inlineStr">
        <is>
          <t>-</t>
        </is>
      </c>
      <c r="L15" s="23" t="inlineStr">
        <is>
          <t>-</t>
        </is>
      </c>
    </row>
    <row r="16" ht="18.5" customHeight="1">
      <c r="A16" s="12" t="inlineStr">
        <is>
          <t xml:space="preserve">   Other Assets, Noncurrent</t>
        </is>
      </c>
      <c r="B16" s="13" t="n">
        <v>79.438</v>
      </c>
      <c r="C16" s="13" t="n">
        <v>66.331</v>
      </c>
      <c r="D16" s="13" t="n">
        <v>39.546</v>
      </c>
      <c r="E16" s="13" t="n">
        <v>50.648</v>
      </c>
      <c r="F16" s="13" t="n">
        <v>41.93</v>
      </c>
      <c r="G16" s="13" t="n">
        <v>57.319</v>
      </c>
      <c r="H16" s="13" t="n">
        <v>30.576</v>
      </c>
      <c r="I16" s="13" t="n">
        <v>28.209</v>
      </c>
      <c r="J16" s="13" t="n">
        <v>21.651</v>
      </c>
      <c r="K16" s="13" t="n">
        <v>23.306</v>
      </c>
      <c r="L16" s="13" t="n">
        <v>21.592</v>
      </c>
    </row>
    <row r="17" ht="22" customHeight="1">
      <c r="A17" s="18" t="inlineStr">
        <is>
          <t>LIABILITIES AND EQUITY</t>
        </is>
      </c>
      <c r="B17" s="19" t="n"/>
      <c r="C17" s="19" t="n"/>
      <c r="D17" s="19" t="n"/>
      <c r="E17" s="19" t="n"/>
      <c r="F17" s="19" t="n"/>
      <c r="G17" s="19" t="n"/>
      <c r="H17" s="19" t="n"/>
      <c r="I17" s="19" t="n"/>
      <c r="J17" s="19" t="n"/>
      <c r="K17" s="19" t="n"/>
      <c r="L17" s="19" t="n"/>
    </row>
    <row r="18" ht="22" customHeight="1">
      <c r="A18" s="18" t="inlineStr">
        <is>
          <t>Stockholders’ equity:</t>
        </is>
      </c>
      <c r="B18" s="19" t="n"/>
      <c r="C18" s="19" t="n"/>
      <c r="D18" s="19" t="n"/>
      <c r="E18" s="19" t="n"/>
      <c r="F18" s="19" t="n"/>
      <c r="G18" s="19" t="n"/>
      <c r="H18" s="19" t="n"/>
      <c r="I18" s="19" t="n"/>
      <c r="J18" s="19" t="n"/>
      <c r="K18" s="19" t="n"/>
      <c r="L18" s="19" t="n"/>
    </row>
    <row r="19" ht="18.5" customHeight="1">
      <c r="A19" s="6" t="inlineStr">
        <is>
          <t xml:space="preserve">   Common Stock, Value, Issued</t>
        </is>
      </c>
      <c r="B19" s="7" t="n">
        <v>1.367</v>
      </c>
      <c r="C19" s="7" t="n">
        <v>1.4</v>
      </c>
      <c r="D19" s="7" t="n">
        <v>1.502</v>
      </c>
      <c r="E19" s="7" t="n">
        <v>0.255</v>
      </c>
      <c r="F19" s="7" t="n">
        <v>0.262</v>
      </c>
      <c r="G19" s="7" t="n">
        <v>0.27</v>
      </c>
      <c r="H19" s="7" t="n">
        <v>0.279</v>
      </c>
      <c r="I19" s="7" t="n">
        <v>0.28</v>
      </c>
      <c r="J19" s="7" t="n">
        <v>0.291</v>
      </c>
      <c r="K19" s="7" t="n">
        <v>0.304</v>
      </c>
      <c r="L19" s="7" t="n">
        <v>0.32</v>
      </c>
    </row>
    <row r="20" ht="18.5" customHeight="1">
      <c r="A20" s="6" t="inlineStr">
        <is>
          <t xml:space="preserve">   Additional Paid in Capital</t>
        </is>
      </c>
      <c r="B20" s="7" t="n">
        <v>298.049</v>
      </c>
      <c r="C20" s="7" t="n">
        <v>287.795</v>
      </c>
      <c r="D20" s="7" t="n">
        <v>253.466</v>
      </c>
      <c r="E20" s="7" t="n">
        <v>245.149</v>
      </c>
      <c r="F20" s="7" t="n">
        <v>232.932</v>
      </c>
      <c r="G20" s="7" t="n">
        <v>210.825</v>
      </c>
      <c r="H20" s="7" t="n">
        <v>203.31</v>
      </c>
      <c r="I20" s="7" t="n">
        <v>191.451</v>
      </c>
      <c r="J20" s="7" t="n">
        <v>178.227</v>
      </c>
      <c r="K20" s="7" t="n">
        <v>167.587</v>
      </c>
      <c r="L20" s="7" t="n">
        <v>160.797</v>
      </c>
    </row>
    <row r="21" ht="18.5" customHeight="1">
      <c r="A21" s="6" t="inlineStr">
        <is>
          <t xml:space="preserve">   Retained Earnings (Accumulated Deficit)</t>
        </is>
      </c>
      <c r="B21" s="7" t="n">
        <v>2034.898</v>
      </c>
      <c r="C21" s="7" t="n">
        <v>2246.362</v>
      </c>
      <c r="D21" s="7" t="n">
        <v>2307.699</v>
      </c>
      <c r="E21" s="7" t="n">
        <v>1912.797</v>
      </c>
      <c r="F21" s="7" t="n">
        <v>1571.574</v>
      </c>
      <c r="G21" s="7" t="n">
        <v>1352.685</v>
      </c>
      <c r="H21" s="7" t="n">
        <v>1257.379</v>
      </c>
      <c r="I21" s="7" t="n">
        <v>973.948</v>
      </c>
      <c r="J21" s="7" t="n">
        <v>889.266</v>
      </c>
      <c r="K21" s="7" t="n">
        <v>785.871</v>
      </c>
      <c r="L21" s="7" t="n">
        <v>819.5890000000001</v>
      </c>
    </row>
    <row r="22" ht="18.5" customHeight="1">
      <c r="A22" s="6" t="inlineStr">
        <is>
          <t xml:space="preserve">   Accumulated Other Comprehensive Income (Loss), Net of Tax</t>
        </is>
      </c>
      <c r="B22" s="7" t="n">
        <v>-32.632</v>
      </c>
      <c r="C22" s="7" t="n">
        <v>-35.919</v>
      </c>
      <c r="D22" s="7" t="n">
        <v>-49.654</v>
      </c>
      <c r="E22" s="7" t="n">
        <v>-50.733</v>
      </c>
      <c r="F22" s="7" t="n">
        <v>-39.035</v>
      </c>
      <c r="G22" s="7" t="n">
        <v>-24.955</v>
      </c>
      <c r="H22" s="7" t="n">
        <v>-16.743</v>
      </c>
      <c r="I22" s="7" t="n">
        <v>-25.559</v>
      </c>
      <c r="J22" s="7" t="n">
        <v>-22.654</v>
      </c>
      <c r="K22" s="7" t="n">
        <v>-12.983</v>
      </c>
      <c r="L22" s="7" t="n">
        <v>-26.451</v>
      </c>
    </row>
    <row r="23" ht="18.5" customHeight="1">
      <c r="A23" s="12" t="inlineStr">
        <is>
          <t xml:space="preserve">   Stockholders' Equity Attributable to Parent</t>
        </is>
      </c>
      <c r="B23" s="13" t="n">
        <v>2301.682</v>
      </c>
      <c r="C23" s="13" t="n">
        <v>2499.638</v>
      </c>
      <c r="D23" s="13" t="n">
        <v>2513.013</v>
      </c>
      <c r="E23" s="13" t="n">
        <v>2107.468</v>
      </c>
      <c r="F23" s="13" t="n">
        <v>1765.733</v>
      </c>
      <c r="G23" s="13" t="n">
        <v>1538.825</v>
      </c>
      <c r="H23" s="13" t="n">
        <v>1444.225</v>
      </c>
      <c r="I23" s="13" t="n">
        <v>1140.12</v>
      </c>
      <c r="J23" s="13" t="n">
        <v>1045.13</v>
      </c>
      <c r="K23" s="13" t="n">
        <v>940.779</v>
      </c>
      <c r="L23" s="13" t="n">
        <v>954.255</v>
      </c>
    </row>
    <row r="24" ht="18.5" customHeight="1">
      <c r="A24" s="24" t="inlineStr">
        <is>
          <t xml:space="preserve">   Liabilities and Equity</t>
        </is>
      </c>
      <c r="B24" s="25" t="n">
        <v>3868.621</v>
      </c>
      <c r="C24" s="25" t="n">
        <v>3687.765</v>
      </c>
      <c r="D24" s="25" t="n">
        <v>3570.252</v>
      </c>
      <c r="E24" s="25" t="n">
        <v>3135.579</v>
      </c>
      <c r="F24" s="25" t="n">
        <v>2556.203</v>
      </c>
      <c r="G24" s="25" t="n">
        <v>2332.25</v>
      </c>
      <c r="H24" s="25" t="n">
        <v>2167.705</v>
      </c>
      <c r="I24" s="25" t="n">
        <v>1765.118</v>
      </c>
      <c r="J24" s="25" t="n">
        <v>1427.206</v>
      </c>
      <c r="K24" s="25" t="n">
        <v>1264.379</v>
      </c>
      <c r="L24" s="25" t="n">
        <v>1191.78</v>
      </c>
    </row>
    <row r="25" ht="22" customHeight="1">
      <c r="A25" s="18" t="inlineStr">
        <is>
          <t>Current liabilities:</t>
        </is>
      </c>
      <c r="B25" s="19" t="n"/>
      <c r="C25" s="19" t="n"/>
      <c r="D25" s="19" t="n"/>
      <c r="E25" s="19" t="n"/>
      <c r="F25" s="19" t="n"/>
      <c r="G25" s="19" t="n"/>
      <c r="H25" s="19" t="n"/>
      <c r="I25" s="19" t="n"/>
      <c r="J25" s="19" t="n"/>
      <c r="K25" s="19" t="n"/>
      <c r="L25" s="19" t="n"/>
    </row>
    <row r="26" ht="18.5" customHeight="1">
      <c r="A26" s="12" t="inlineStr">
        <is>
          <t xml:space="preserve">   Liabilities, Current</t>
        </is>
      </c>
      <c r="B26" s="13" t="n">
        <v>1063.631</v>
      </c>
      <c r="C26" s="13" t="n">
        <v>804.074</v>
      </c>
      <c r="D26" s="13" t="n">
        <v>769.941</v>
      </c>
      <c r="E26" s="13" t="n">
        <v>719.9930000000001</v>
      </c>
      <c r="F26" s="13" t="n">
        <v>497.38</v>
      </c>
      <c r="G26" s="13" t="n">
        <v>541.684</v>
      </c>
      <c r="H26" s="13" t="n">
        <v>468.368</v>
      </c>
      <c r="I26" s="13" t="n">
        <v>300.946</v>
      </c>
      <c r="J26" s="13" t="n">
        <v>250.524</v>
      </c>
      <c r="K26" s="13" t="n">
        <v>189.166</v>
      </c>
      <c r="L26" s="13" t="n">
        <v>159.051</v>
      </c>
    </row>
    <row r="27" ht="18.5" customHeight="1">
      <c r="A27" s="6" t="inlineStr">
        <is>
          <t xml:space="preserve">   Operating Lease, Liability, Current</t>
        </is>
      </c>
      <c r="B27" s="7" t="n">
        <v>73.358</v>
      </c>
      <c r="C27" s="7" t="n">
        <v>83.931</v>
      </c>
      <c r="D27" s="7" t="n">
        <v>54.453</v>
      </c>
      <c r="E27" s="7" t="n">
        <v>53.581</v>
      </c>
      <c r="F27" s="7" t="n">
        <v>50.765</v>
      </c>
      <c r="G27" s="7" t="n">
        <v>50.098</v>
      </c>
      <c r="H27" s="7" t="n">
        <v>46.768</v>
      </c>
      <c r="I27" s="7" t="n">
        <v>49.091</v>
      </c>
      <c r="J27" s="23" t="inlineStr">
        <is>
          <t>-</t>
        </is>
      </c>
      <c r="K27" s="23" t="inlineStr">
        <is>
          <t>-</t>
        </is>
      </c>
      <c r="L27" s="23" t="inlineStr">
        <is>
          <t>-</t>
        </is>
      </c>
    </row>
    <row r="28" ht="18.5" customHeight="1">
      <c r="A28" s="6" t="inlineStr">
        <is>
          <t xml:space="preserve">   Operating Lease, Liability, Noncurrent</t>
        </is>
      </c>
      <c r="B28" s="7" t="n">
        <v>398.976</v>
      </c>
      <c r="C28" s="7" t="n">
        <v>291.263</v>
      </c>
      <c r="D28" s="7" t="n">
        <v>222.522</v>
      </c>
      <c r="E28" s="7" t="n">
        <v>213.298</v>
      </c>
      <c r="F28" s="7" t="n">
        <v>195.723</v>
      </c>
      <c r="G28" s="7" t="n">
        <v>171.972</v>
      </c>
      <c r="H28" s="7" t="n">
        <v>176.274</v>
      </c>
      <c r="I28" s="7" t="n">
        <v>215.724</v>
      </c>
      <c r="J28" s="23" t="inlineStr">
        <is>
          <t>-</t>
        </is>
      </c>
      <c r="K28" s="23" t="inlineStr">
        <is>
          <t>-</t>
        </is>
      </c>
      <c r="L28" s="23" t="inlineStr">
        <is>
          <t>-</t>
        </is>
      </c>
    </row>
    <row r="29" ht="18.5" customHeight="1">
      <c r="A29" s="12" t="inlineStr">
        <is>
          <t xml:space="preserve">   Other Liabilities, Noncurrent</t>
        </is>
      </c>
      <c r="B29" s="13" t="n">
        <v>76.098</v>
      </c>
      <c r="C29" s="13" t="n">
        <v>66.477</v>
      </c>
      <c r="D29" s="13" t="n">
        <v>51.189</v>
      </c>
      <c r="E29" s="13" t="n">
        <v>42.35</v>
      </c>
      <c r="F29" s="13" t="n">
        <v>35.335</v>
      </c>
      <c r="G29" s="13" t="n">
        <v>25.51</v>
      </c>
      <c r="H29" s="13" t="n">
        <v>18.744</v>
      </c>
      <c r="I29" s="13" t="n">
        <v>14.518</v>
      </c>
      <c r="J29" s="13" t="n">
        <v>18.928</v>
      </c>
      <c r="K29" s="13" t="n">
        <v>15.696</v>
      </c>
      <c r="L29" s="13" t="n">
        <v>14.743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1"/>
  <sheetViews>
    <sheetView showGridLines="1"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DECKERS OUTDOOR CORP (DECK) - Estado de Flujos de Efectivo</t>
        </is>
      </c>
    </row>
    <row r="2" ht="18" customHeight="1">
      <c r="A2" s="2" t="inlineStr">
        <is>
          <t>Cifras expresadas en Millones de USD ($M) | Conciliación de CFO, CFI y CFF</t>
        </is>
      </c>
    </row>
    <row r="3" ht="8" customHeight="1"/>
    <row r="4" ht="25" customHeight="1">
      <c r="A4" s="3" t="inlineStr">
        <is>
          <t>Actividad / Flujo de Fondos</t>
        </is>
      </c>
      <c r="B4" s="4" t="inlineStr">
        <is>
          <t>LTM</t>
        </is>
      </c>
      <c r="C4" s="5" t="inlineStr">
        <is>
          <t>FY2026</t>
        </is>
      </c>
      <c r="D4" s="5" t="inlineStr">
        <is>
          <t>FY2025</t>
        </is>
      </c>
      <c r="E4" s="5" t="inlineStr">
        <is>
          <t>FY2024</t>
        </is>
      </c>
      <c r="F4" s="5" t="inlineStr">
        <is>
          <t>FY2023</t>
        </is>
      </c>
      <c r="G4" s="5" t="inlineStr">
        <is>
          <t>FY2022</t>
        </is>
      </c>
      <c r="H4" s="5" t="inlineStr">
        <is>
          <t>FY2021</t>
        </is>
      </c>
      <c r="I4" s="5" t="inlineStr">
        <is>
          <t>FY2020</t>
        </is>
      </c>
      <c r="J4" s="5" t="inlineStr">
        <is>
          <t>FY2019</t>
        </is>
      </c>
      <c r="K4" s="5" t="inlineStr">
        <is>
          <t>FY2018</t>
        </is>
      </c>
      <c r="L4" s="5" t="inlineStr">
        <is>
          <t>FY2017</t>
        </is>
      </c>
    </row>
    <row r="5" ht="22" customHeight="1">
      <c r="A5" s="18" t="inlineStr">
        <is>
          <t>Cash flows from operating activities:</t>
        </is>
      </c>
      <c r="B5" s="19" t="n"/>
      <c r="C5" s="19" t="n"/>
      <c r="D5" s="19" t="n"/>
      <c r="E5" s="19" t="n"/>
      <c r="F5" s="19" t="n"/>
      <c r="G5" s="19" t="n"/>
      <c r="H5" s="19" t="n"/>
      <c r="I5" s="19" t="n"/>
      <c r="J5" s="19" t="n"/>
      <c r="K5" s="19" t="n"/>
      <c r="L5" s="19" t="n"/>
    </row>
    <row r="6" ht="18.5" customHeight="1">
      <c r="A6" s="6" t="inlineStr">
        <is>
          <t xml:space="preserve">   Net Income (Loss), Including Portion Attributable to Noncontrolling Interest</t>
        </is>
      </c>
      <c r="B6" s="23" t="inlineStr">
        <is>
          <t>-</t>
        </is>
      </c>
      <c r="C6" s="23" t="inlineStr">
        <is>
          <t>-</t>
        </is>
      </c>
      <c r="D6" s="23" t="inlineStr">
        <is>
          <t>-</t>
        </is>
      </c>
      <c r="E6" s="23" t="inlineStr">
        <is>
          <t>-</t>
        </is>
      </c>
      <c r="F6" s="23" t="inlineStr">
        <is>
          <t>-</t>
        </is>
      </c>
      <c r="G6" s="23" t="inlineStr">
        <is>
          <t>-</t>
        </is>
      </c>
      <c r="H6" s="23" t="inlineStr">
        <is>
          <t>-</t>
        </is>
      </c>
      <c r="I6" s="23" t="inlineStr">
        <is>
          <t>-</t>
        </is>
      </c>
      <c r="J6" s="23" t="inlineStr">
        <is>
          <t>-</t>
        </is>
      </c>
      <c r="K6" s="23" t="inlineStr">
        <is>
          <t>-</t>
        </is>
      </c>
      <c r="L6" s="7" t="n">
        <v>5.71</v>
      </c>
    </row>
    <row r="7" ht="22" customHeight="1">
      <c r="A7" s="18" t="inlineStr">
        <is>
          <t>Adjustments to reconcile net income to net cash provided by operating activities:</t>
        </is>
      </c>
      <c r="B7" s="19" t="n"/>
      <c r="C7" s="19" t="n"/>
      <c r="D7" s="19" t="n"/>
      <c r="E7" s="19" t="n"/>
      <c r="F7" s="19" t="n"/>
      <c r="G7" s="19" t="n"/>
      <c r="H7" s="19" t="n"/>
      <c r="I7" s="19" t="n"/>
      <c r="J7" s="19" t="n"/>
      <c r="K7" s="19" t="n"/>
      <c r="L7" s="19" t="n"/>
    </row>
    <row r="8" ht="18.5" customHeight="1">
      <c r="A8" s="6" t="inlineStr">
        <is>
          <t xml:space="preserve">   Share-based Payment Arrangement, Noncash Expense</t>
        </is>
      </c>
      <c r="B8" s="7" t="n">
        <v>46.837</v>
      </c>
      <c r="C8" s="7" t="n">
        <v>44.835</v>
      </c>
      <c r="D8" s="7" t="n">
        <v>37.943</v>
      </c>
      <c r="E8" s="7" t="n">
        <v>37.288</v>
      </c>
      <c r="F8" s="7" t="n">
        <v>26.897</v>
      </c>
      <c r="G8" s="7" t="n">
        <v>26.816</v>
      </c>
      <c r="H8" s="7" t="n">
        <v>22.701</v>
      </c>
      <c r="I8" s="7" t="n">
        <v>14.477</v>
      </c>
      <c r="J8" s="7" t="n">
        <v>14.585</v>
      </c>
      <c r="K8" s="7" t="n">
        <v>14.302</v>
      </c>
      <c r="L8" s="7" t="n">
        <v>6.175</v>
      </c>
    </row>
    <row r="9" ht="22" customHeight="1">
      <c r="A9" s="18" t="inlineStr">
        <is>
          <t>Changes in operating assets and liabilities:</t>
        </is>
      </c>
      <c r="B9" s="19" t="n"/>
      <c r="C9" s="19" t="n"/>
      <c r="D9" s="19" t="n"/>
      <c r="E9" s="19" t="n"/>
      <c r="F9" s="19" t="n"/>
      <c r="G9" s="19" t="n"/>
      <c r="H9" s="19" t="n"/>
      <c r="I9" s="19" t="n"/>
      <c r="J9" s="19" t="n"/>
      <c r="K9" s="19" t="n"/>
      <c r="L9" s="19" t="n"/>
    </row>
    <row r="10" ht="18.5" customHeight="1">
      <c r="A10" s="6" t="inlineStr">
        <is>
          <t xml:space="preserve">   Increase (Decrease) in Accounts Receivable</t>
        </is>
      </c>
      <c r="B10" s="7" t="n">
        <v>-17.933</v>
      </c>
      <c r="C10" s="7" t="n">
        <v>-7.55</v>
      </c>
      <c r="D10" s="7" t="n">
        <v>41.339</v>
      </c>
      <c r="E10" s="7" t="n">
        <v>-4.157</v>
      </c>
      <c r="F10" s="7" t="n">
        <v>0.806</v>
      </c>
      <c r="G10" s="7" t="n">
        <v>86.627</v>
      </c>
      <c r="H10" s="7" t="n">
        <v>33.173</v>
      </c>
      <c r="I10" s="7" t="n">
        <v>10.493</v>
      </c>
      <c r="J10" s="7" t="n">
        <v>16.157</v>
      </c>
      <c r="K10" s="7" t="n">
        <v>-10.77</v>
      </c>
      <c r="L10" s="7" t="n">
        <v>1.336</v>
      </c>
    </row>
    <row r="11" ht="18.5" customHeight="1">
      <c r="A11" s="6" t="inlineStr">
        <is>
          <t xml:space="preserve">   Increase (Decrease) in Inventories</t>
        </is>
      </c>
      <c r="B11" s="7" t="n">
        <v>25.355</v>
      </c>
      <c r="C11" s="7" t="n">
        <v>-8.208</v>
      </c>
      <c r="D11" s="7" t="n">
        <v>24.344</v>
      </c>
      <c r="E11" s="7" t="n">
        <v>-58.541</v>
      </c>
      <c r="F11" s="7" t="n">
        <v>26.056</v>
      </c>
      <c r="G11" s="7" t="n">
        <v>228.554</v>
      </c>
      <c r="H11" s="7" t="n">
        <v>-33.378</v>
      </c>
      <c r="I11" s="7" t="n">
        <v>32.777</v>
      </c>
      <c r="J11" s="7" t="n">
        <v>-8.827</v>
      </c>
      <c r="K11" s="7" t="n">
        <v>0.751</v>
      </c>
      <c r="L11" s="7" t="n">
        <v>-1.06</v>
      </c>
    </row>
    <row r="12" ht="18.5" customHeight="1">
      <c r="A12" s="6" t="inlineStr">
        <is>
          <t xml:space="preserve">   Deferred Income Tax Expense (Benefit)</t>
        </is>
      </c>
      <c r="B12" s="7" t="n">
        <v>9.967000000000001</v>
      </c>
      <c r="C12" s="7" t="n">
        <v>8.784000000000001</v>
      </c>
      <c r="D12" s="7" t="n">
        <v>-5.545</v>
      </c>
      <c r="E12" s="7" t="n">
        <v>-1.51</v>
      </c>
      <c r="F12" s="7" t="n">
        <v>-9.718999999999999</v>
      </c>
      <c r="G12" s="7" t="n">
        <v>-27.796</v>
      </c>
      <c r="H12" s="7" t="n">
        <v>-8.170999999999999</v>
      </c>
      <c r="I12" s="7" t="n">
        <v>2.934</v>
      </c>
      <c r="J12" s="7" t="n">
        <v>6.939</v>
      </c>
      <c r="K12" s="7" t="n">
        <v>8.138</v>
      </c>
      <c r="L12" s="7" t="n">
        <v>-24.495</v>
      </c>
    </row>
    <row r="13" ht="18.5" customHeight="1">
      <c r="A13" s="8" t="inlineStr">
        <is>
          <t xml:space="preserve">   Net Cash Provided by (Used in) Operating Activities</t>
        </is>
      </c>
      <c r="B13" s="9" t="n">
        <v>1193.713</v>
      </c>
      <c r="C13" s="9" t="n">
        <v>1181.955</v>
      </c>
      <c r="D13" s="9" t="n">
        <v>1044.523</v>
      </c>
      <c r="E13" s="9" t="n">
        <v>1033.184</v>
      </c>
      <c r="F13" s="9" t="n">
        <v>537.422</v>
      </c>
      <c r="G13" s="9" t="n">
        <v>172.353</v>
      </c>
      <c r="H13" s="9" t="n">
        <v>596.217</v>
      </c>
      <c r="I13" s="9" t="n">
        <v>286.334</v>
      </c>
      <c r="J13" s="9" t="n">
        <v>359.505</v>
      </c>
      <c r="K13" s="9" t="n">
        <v>327.351</v>
      </c>
      <c r="L13" s="22" t="inlineStr">
        <is>
          <t>-</t>
        </is>
      </c>
    </row>
    <row r="14" ht="22" customHeight="1">
      <c r="A14" s="18" t="inlineStr">
        <is>
          <t>Cash flows from investing activities:</t>
        </is>
      </c>
      <c r="B14" s="19" t="n"/>
      <c r="C14" s="19" t="n"/>
      <c r="D14" s="19" t="n"/>
      <c r="E14" s="19" t="n"/>
      <c r="F14" s="19" t="n"/>
      <c r="G14" s="19" t="n"/>
      <c r="H14" s="19" t="n"/>
      <c r="I14" s="19" t="n"/>
      <c r="J14" s="19" t="n"/>
      <c r="K14" s="19" t="n"/>
      <c r="L14" s="19" t="n"/>
    </row>
    <row r="15" ht="18.5" customHeight="1">
      <c r="A15" s="8" t="inlineStr">
        <is>
          <t xml:space="preserve">   Net Cash Provided by (Used in) Investing Activities</t>
        </is>
      </c>
      <c r="B15" s="9" t="n">
        <v>-75.896</v>
      </c>
      <c r="C15" s="9" t="n">
        <v>-84.61199999999999</v>
      </c>
      <c r="D15" s="9" t="n">
        <v>-75.003</v>
      </c>
      <c r="E15" s="9" t="n">
        <v>-89.331</v>
      </c>
      <c r="F15" s="9" t="n">
        <v>-81.01300000000001</v>
      </c>
      <c r="G15" s="9" t="n">
        <v>-51.009</v>
      </c>
      <c r="H15" s="9" t="n">
        <v>-32.169</v>
      </c>
      <c r="I15" s="9" t="n">
        <v>-31.964</v>
      </c>
      <c r="J15" s="9" t="n">
        <v>-29.018</v>
      </c>
      <c r="K15" s="9" t="n">
        <v>-34.697</v>
      </c>
      <c r="L15" s="22" t="inlineStr">
        <is>
          <t>-</t>
        </is>
      </c>
    </row>
    <row r="16" ht="18.5" customHeight="1">
      <c r="A16" s="6" t="inlineStr">
        <is>
          <t xml:space="preserve">   Payments to Acquire Property, Plant, and Equipment</t>
        </is>
      </c>
      <c r="B16" s="7" t="n">
        <v>75.905</v>
      </c>
      <c r="C16" s="7" t="n">
        <v>84.623</v>
      </c>
      <c r="D16" s="7" t="n">
        <v>86.17100000000001</v>
      </c>
      <c r="E16" s="7" t="n">
        <v>89.36499999999999</v>
      </c>
      <c r="F16" s="7" t="n">
        <v>81.02500000000001</v>
      </c>
      <c r="G16" s="7" t="n">
        <v>51.017</v>
      </c>
      <c r="H16" s="7" t="n">
        <v>32.218</v>
      </c>
      <c r="I16" s="7" t="n">
        <v>32.455</v>
      </c>
      <c r="J16" s="7" t="n">
        <v>29.086</v>
      </c>
      <c r="K16" s="7" t="n">
        <v>34.813</v>
      </c>
      <c r="L16" s="7" t="n">
        <v>44.499</v>
      </c>
    </row>
    <row r="17" ht="22" customHeight="1">
      <c r="A17" s="18" t="inlineStr">
        <is>
          <t>Cash flows from financing activities:</t>
        </is>
      </c>
      <c r="B17" s="19" t="n"/>
      <c r="C17" s="19" t="n"/>
      <c r="D17" s="19" t="n"/>
      <c r="E17" s="19" t="n"/>
      <c r="F17" s="19" t="n"/>
      <c r="G17" s="19" t="n"/>
      <c r="H17" s="19" t="n"/>
      <c r="I17" s="19" t="n"/>
      <c r="J17" s="19" t="n"/>
      <c r="K17" s="19" t="n"/>
      <c r="L17" s="19" t="n"/>
    </row>
    <row r="18" ht="18.5" customHeight="1">
      <c r="A18" s="6" t="inlineStr">
        <is>
          <t xml:space="preserve">   Payment, Tax Withholding, Share-based Payment Arrangement</t>
        </is>
      </c>
      <c r="B18" s="7" t="n">
        <v>8.464</v>
      </c>
      <c r="C18" s="7" t="n">
        <v>8.41</v>
      </c>
      <c r="D18" s="7" t="n">
        <v>15.119</v>
      </c>
      <c r="E18" s="7" t="n">
        <v>9.974</v>
      </c>
      <c r="F18" s="7" t="n">
        <v>16.688</v>
      </c>
      <c r="G18" s="7" t="n">
        <v>14.024</v>
      </c>
      <c r="H18" s="7" t="n">
        <v>7.432</v>
      </c>
      <c r="I18" s="7" t="n">
        <v>6.148</v>
      </c>
      <c r="J18" s="7" t="n">
        <v>5.328</v>
      </c>
      <c r="K18" s="7" t="n">
        <v>8.105</v>
      </c>
      <c r="L18" s="7" t="n">
        <v>7.865</v>
      </c>
    </row>
    <row r="19" ht="18.5" customHeight="1">
      <c r="A19" s="6" t="inlineStr">
        <is>
          <t xml:space="preserve">   Payments for Repurchase of Common Stock</t>
        </is>
      </c>
      <c r="B19" s="7" t="n">
        <v>1230.295</v>
      </c>
      <c r="C19" s="7" t="n">
        <v>1075.1</v>
      </c>
      <c r="D19" s="7" t="n">
        <v>567.002</v>
      </c>
      <c r="E19" s="7" t="n">
        <v>414.931</v>
      </c>
      <c r="F19" s="7" t="n">
        <v>297.372</v>
      </c>
      <c r="G19" s="7" t="n">
        <v>356.653</v>
      </c>
      <c r="H19" s="7" t="n">
        <v>99.14700000000001</v>
      </c>
      <c r="I19" s="7" t="n">
        <v>190.405</v>
      </c>
      <c r="J19" s="7" t="n">
        <v>161.395</v>
      </c>
      <c r="K19" s="7" t="n">
        <v>149.687</v>
      </c>
      <c r="L19" s="7" t="n">
        <v>12.572</v>
      </c>
    </row>
    <row r="20" ht="18.5" customHeight="1">
      <c r="A20" s="8" t="inlineStr">
        <is>
          <t xml:space="preserve">   Net Cash Provided by (Used in) Financing Activities</t>
        </is>
      </c>
      <c r="B20" s="9" t="n">
        <v>-1239.293</v>
      </c>
      <c r="C20" s="9" t="n">
        <v>-1084.044</v>
      </c>
      <c r="D20" s="9" t="n">
        <v>-581.3339999999999</v>
      </c>
      <c r="E20" s="9" t="n">
        <v>-417.675</v>
      </c>
      <c r="F20" s="9" t="n">
        <v>-309.031</v>
      </c>
      <c r="G20" s="9" t="n">
        <v>-367.482</v>
      </c>
      <c r="H20" s="9" t="n">
        <v>-129.581</v>
      </c>
      <c r="I20" s="9" t="n">
        <v>-192.114</v>
      </c>
      <c r="J20" s="9" t="n">
        <v>-167.194</v>
      </c>
      <c r="K20" s="9" t="n">
        <v>-157.715</v>
      </c>
      <c r="L20" s="22" t="inlineStr">
        <is>
          <t>-</t>
        </is>
      </c>
    </row>
    <row r="21" ht="18.5" customHeight="1">
      <c r="A21" s="6" t="inlineStr">
        <is>
          <t xml:space="preserve">   Repayments of Long-term Debt</t>
        </is>
      </c>
      <c r="B21" s="23" t="inlineStr">
        <is>
          <t>-</t>
        </is>
      </c>
      <c r="C21" s="23" t="inlineStr">
        <is>
          <t>-</t>
        </is>
      </c>
      <c r="D21" s="23" t="inlineStr">
        <is>
          <t>-</t>
        </is>
      </c>
      <c r="E21" s="23" t="inlineStr">
        <is>
          <t>-</t>
        </is>
      </c>
      <c r="F21" s="7" t="n">
        <v>0</v>
      </c>
      <c r="G21" s="7" t="n">
        <v>0</v>
      </c>
      <c r="H21" s="7" t="n">
        <v>30.901</v>
      </c>
      <c r="I21" s="7" t="n">
        <v>0.603</v>
      </c>
      <c r="J21" s="7" t="n">
        <v>0.578</v>
      </c>
      <c r="K21" s="7" t="n">
        <v>0.55</v>
      </c>
      <c r="L21" s="7" t="n">
        <v>0.523</v>
      </c>
    </row>
    <row r="22" ht="18.5" customHeight="1">
      <c r="A22" s="8" t="inlineStr">
        <is>
          <t xml:space="preserve">   Cash, Cash Equivalents, Restricted Cash and Restricted Cash Equivalents, Period Increase (Decrease), Including Exchange Rate Effect</t>
        </is>
      </c>
      <c r="B22" s="9" t="n">
        <v>153.949</v>
      </c>
      <c r="C22" s="9" t="n">
        <v>18.061</v>
      </c>
      <c r="D22" s="9" t="n">
        <v>387.137</v>
      </c>
      <c r="E22" s="9" t="n">
        <v>520.256</v>
      </c>
      <c r="F22" s="9" t="n">
        <v>138.268</v>
      </c>
      <c r="G22" s="9" t="n">
        <v>-245.834</v>
      </c>
      <c r="H22" s="9" t="n">
        <v>439.925</v>
      </c>
      <c r="I22" s="9" t="n">
        <v>59.744</v>
      </c>
      <c r="J22" s="9" t="n">
        <v>159.722</v>
      </c>
      <c r="K22" s="22" t="inlineStr">
        <is>
          <t>-</t>
        </is>
      </c>
      <c r="L22" s="22" t="inlineStr">
        <is>
          <t>-</t>
        </is>
      </c>
    </row>
    <row r="23" ht="18.5" customHeight="1">
      <c r="A23" s="6" t="inlineStr">
        <is>
          <t xml:space="preserve">   Cash, Cash Equivalents, Restricted Cash and Restricted Cash Equivalents</t>
        </is>
      </c>
      <c r="B23" s="7" t="n">
        <v>1906.136</v>
      </c>
      <c r="C23" s="7" t="n">
        <v>1907.249</v>
      </c>
      <c r="D23" s="7" t="n">
        <v>1889.188</v>
      </c>
      <c r="E23" s="7" t="n">
        <v>1502.051</v>
      </c>
      <c r="F23" s="7" t="n">
        <v>981.795</v>
      </c>
      <c r="G23" s="7" t="n">
        <v>843.527</v>
      </c>
      <c r="H23" s="7" t="n">
        <v>1089.361</v>
      </c>
      <c r="I23" s="7" t="n">
        <v>649.436</v>
      </c>
      <c r="J23" s="7" t="n">
        <v>589.692</v>
      </c>
      <c r="K23" s="23" t="inlineStr">
        <is>
          <t>-</t>
        </is>
      </c>
      <c r="L23" s="23" t="inlineStr">
        <is>
          <t>-</t>
        </is>
      </c>
    </row>
    <row r="24" ht="22" customHeight="1">
      <c r="A24" s="18" t="inlineStr">
        <is>
          <t>Supplemental disclosure of cash flow information:</t>
        </is>
      </c>
      <c r="B24" s="19" t="n"/>
      <c r="C24" s="19" t="n"/>
      <c r="D24" s="19" t="n"/>
      <c r="E24" s="19" t="n"/>
      <c r="F24" s="19" t="n"/>
      <c r="G24" s="19" t="n"/>
      <c r="H24" s="19" t="n"/>
      <c r="I24" s="19" t="n"/>
      <c r="J24" s="19" t="n"/>
      <c r="K24" s="19" t="n"/>
      <c r="L24" s="19" t="n"/>
    </row>
    <row r="25" ht="18.5" customHeight="1">
      <c r="A25" s="6" t="inlineStr">
        <is>
          <t xml:space="preserve">   Interest Paid, Excluding Capitalized Interest, Operating Activities</t>
        </is>
      </c>
      <c r="B25" s="7" t="n">
        <v>3.119</v>
      </c>
      <c r="C25" s="7" t="n">
        <v>2.492</v>
      </c>
      <c r="D25" s="7" t="n">
        <v>1.789</v>
      </c>
      <c r="E25" s="7" t="n">
        <v>1.783</v>
      </c>
      <c r="F25" s="7" t="n">
        <v>1.88</v>
      </c>
      <c r="G25" s="7" t="n">
        <v>1.842</v>
      </c>
      <c r="H25" s="7" t="n">
        <v>2.931</v>
      </c>
      <c r="I25" s="7" t="n">
        <v>2.466</v>
      </c>
      <c r="J25" s="7" t="n">
        <v>3.811</v>
      </c>
      <c r="K25" s="7" t="n">
        <v>3.774</v>
      </c>
      <c r="L25" s="7" t="n">
        <v>5.494</v>
      </c>
    </row>
    <row r="26" ht="18.5" customHeight="1">
      <c r="A26" s="6" t="inlineStr">
        <is>
          <t xml:space="preserve">   Income Taxes Paid, Net</t>
        </is>
      </c>
      <c r="B26" s="7" t="n">
        <v>236.402</v>
      </c>
      <c r="C26" s="7" t="n">
        <v>234.314</v>
      </c>
      <c r="D26" s="7" t="n">
        <v>345.397</v>
      </c>
      <c r="E26" s="7" t="n">
        <v>234.062</v>
      </c>
      <c r="F26" s="7" t="n">
        <v>134.565</v>
      </c>
      <c r="G26" s="7" t="n">
        <v>192.013</v>
      </c>
      <c r="H26" s="7" t="n">
        <v>104.068</v>
      </c>
      <c r="I26" s="7" t="n">
        <v>74.57299999999999</v>
      </c>
      <c r="J26" s="7" t="n">
        <v>53.657</v>
      </c>
      <c r="K26" s="7" t="n">
        <v>14.407</v>
      </c>
      <c r="L26" s="7" t="n">
        <v>14.099</v>
      </c>
    </row>
    <row r="27" ht="18.5" customHeight="1">
      <c r="A27" s="6" t="inlineStr">
        <is>
          <t xml:space="preserve">   Effect of Exchange Rate on Cash, Cash Equivalents, Restricted Cash and Restricted Cash Equivalents</t>
        </is>
      </c>
      <c r="B27" s="7" t="n">
        <v>3.649</v>
      </c>
      <c r="C27" s="7" t="n">
        <v>4.762</v>
      </c>
      <c r="D27" s="7" t="n">
        <v>-1.049</v>
      </c>
      <c r="E27" s="7" t="n">
        <v>-5.922</v>
      </c>
      <c r="F27" s="7" t="n">
        <v>-9.109999999999999</v>
      </c>
      <c r="G27" s="7" t="n">
        <v>0.304</v>
      </c>
      <c r="H27" s="7" t="n">
        <v>5.458</v>
      </c>
      <c r="I27" s="7" t="n">
        <v>-2.512</v>
      </c>
      <c r="J27" s="7" t="n">
        <v>-3.571</v>
      </c>
      <c r="K27" s="23" t="inlineStr">
        <is>
          <t>-</t>
        </is>
      </c>
      <c r="L27" s="23" t="inlineStr">
        <is>
          <t>-</t>
        </is>
      </c>
    </row>
    <row r="28" ht="18.5" customHeight="1">
      <c r="A28" s="6" t="inlineStr">
        <is>
          <t xml:space="preserve">   Additional Financial Items</t>
        </is>
      </c>
      <c r="B28" s="23" t="inlineStr">
        <is>
          <t>-</t>
        </is>
      </c>
      <c r="C28" s="23" t="inlineStr">
        <is>
          <t>-</t>
        </is>
      </c>
      <c r="D28" s="23" t="inlineStr">
        <is>
          <t>-</t>
        </is>
      </c>
      <c r="E28" s="23" t="inlineStr">
        <is>
          <t>-</t>
        </is>
      </c>
      <c r="F28" s="23" t="inlineStr">
        <is>
          <t>-</t>
        </is>
      </c>
      <c r="G28" s="23" t="inlineStr">
        <is>
          <t>-</t>
        </is>
      </c>
      <c r="H28" s="23" t="inlineStr">
        <is>
          <t>-</t>
        </is>
      </c>
      <c r="I28" s="23" t="inlineStr">
        <is>
          <t>-</t>
        </is>
      </c>
      <c r="J28" s="23" t="inlineStr">
        <is>
          <t>-</t>
        </is>
      </c>
      <c r="K28" s="23" t="inlineStr">
        <is>
          <t>-</t>
        </is>
      </c>
      <c r="L28" s="23" t="inlineStr">
        <is>
          <t>-</t>
        </is>
      </c>
    </row>
    <row r="29" ht="18.5" customHeight="1">
      <c r="A29" s="6" t="inlineStr">
        <is>
          <t xml:space="preserve">   Share-based Payment Arrangement, Expense</t>
        </is>
      </c>
      <c r="B29" s="7" t="n">
        <v>44.835</v>
      </c>
      <c r="C29" s="7" t="n">
        <v>44.835</v>
      </c>
      <c r="D29" s="7" t="n">
        <v>37.943</v>
      </c>
      <c r="E29" s="7" t="n">
        <v>37.288</v>
      </c>
      <c r="F29" s="7" t="n">
        <v>26.897</v>
      </c>
      <c r="G29" s="7" t="n">
        <v>26.816</v>
      </c>
      <c r="H29" s="7" t="n">
        <v>22.701</v>
      </c>
      <c r="I29" s="23" t="inlineStr">
        <is>
          <t>-</t>
        </is>
      </c>
      <c r="J29" s="23" t="inlineStr">
        <is>
          <t>-</t>
        </is>
      </c>
      <c r="K29" s="23" t="inlineStr">
        <is>
          <t>-</t>
        </is>
      </c>
      <c r="L29" s="23" t="inlineStr">
        <is>
          <t>-</t>
        </is>
      </c>
    </row>
    <row r="30" ht="18.5" customHeight="1">
      <c r="A30" s="6" t="inlineStr">
        <is>
          <t xml:space="preserve">   Amortization of Debt Issuance Costs</t>
        </is>
      </c>
      <c r="B30" s="23" t="inlineStr">
        <is>
          <t>-</t>
        </is>
      </c>
      <c r="C30" s="23" t="inlineStr">
        <is>
          <t>-</t>
        </is>
      </c>
      <c r="D30" s="23" t="inlineStr">
        <is>
          <t>-</t>
        </is>
      </c>
      <c r="E30" s="23" t="inlineStr">
        <is>
          <t>-</t>
        </is>
      </c>
      <c r="F30" s="23" t="inlineStr">
        <is>
          <t>-</t>
        </is>
      </c>
      <c r="G30" s="23" t="inlineStr">
        <is>
          <t>-</t>
        </is>
      </c>
      <c r="H30" s="23" t="inlineStr">
        <is>
          <t>-</t>
        </is>
      </c>
      <c r="I30" s="23" t="inlineStr">
        <is>
          <t>-</t>
        </is>
      </c>
      <c r="J30" s="7" t="n">
        <v>0.286</v>
      </c>
      <c r="K30" s="23" t="inlineStr">
        <is>
          <t>-</t>
        </is>
      </c>
      <c r="L30" s="23" t="inlineStr">
        <is>
          <t>-</t>
        </is>
      </c>
    </row>
    <row r="31" ht="18.5" customHeight="1">
      <c r="A31" s="6" t="inlineStr">
        <is>
          <t xml:space="preserve">   Amortization of Intangible Assets</t>
        </is>
      </c>
      <c r="B31" s="23" t="inlineStr">
        <is>
          <t>-</t>
        </is>
      </c>
      <c r="C31" s="23" t="inlineStr">
        <is>
          <t>-</t>
        </is>
      </c>
      <c r="D31" s="7" t="n">
        <v>0.847</v>
      </c>
      <c r="E31" s="7" t="n">
        <v>2.208</v>
      </c>
      <c r="F31" s="7" t="n">
        <v>2.228</v>
      </c>
      <c r="G31" s="7" t="n">
        <v>2.248</v>
      </c>
      <c r="H31" s="7" t="n">
        <v>2.565</v>
      </c>
      <c r="I31" s="7" t="n">
        <v>3.47</v>
      </c>
      <c r="J31" s="7" t="n">
        <v>6.235</v>
      </c>
      <c r="K31" s="7" t="n">
        <v>7.807</v>
      </c>
      <c r="L31" s="7" t="n">
        <v>7.945</v>
      </c>
    </row>
    <row r="32" ht="18.5" customHeight="1">
      <c r="A32" s="6" t="inlineStr">
        <is>
          <t xml:space="preserve">   Asset Retirement Obligation, Accretion Expense</t>
        </is>
      </c>
      <c r="B32" s="7" t="n">
        <v>1.122</v>
      </c>
      <c r="C32" s="7" t="n">
        <v>1.122</v>
      </c>
      <c r="D32" s="7" t="n">
        <v>0.927</v>
      </c>
      <c r="E32" s="7" t="n">
        <v>0.421</v>
      </c>
      <c r="F32" s="7" t="n">
        <v>0.513</v>
      </c>
      <c r="G32" s="7" t="n">
        <v>0.327</v>
      </c>
      <c r="H32" s="7" t="n">
        <v>1.458</v>
      </c>
      <c r="I32" s="23" t="inlineStr">
        <is>
          <t>-</t>
        </is>
      </c>
      <c r="J32" s="23" t="inlineStr">
        <is>
          <t>-</t>
        </is>
      </c>
      <c r="K32" s="23" t="inlineStr">
        <is>
          <t>-</t>
        </is>
      </c>
      <c r="L32" s="23" t="inlineStr">
        <is>
          <t>-</t>
        </is>
      </c>
    </row>
    <row r="33" ht="18.5" customHeight="1">
      <c r="A33" s="6" t="inlineStr">
        <is>
          <t xml:space="preserve">   Depreciation</t>
        </is>
      </c>
      <c r="B33" s="7" t="n">
        <v>74.59</v>
      </c>
      <c r="C33" s="7" t="n">
        <v>74.59</v>
      </c>
      <c r="D33" s="7" t="n">
        <v>67.57899999999999</v>
      </c>
      <c r="E33" s="7" t="n">
        <v>54.958</v>
      </c>
      <c r="F33" s="23" t="inlineStr">
        <is>
          <t>-</t>
        </is>
      </c>
      <c r="G33" s="23" t="inlineStr">
        <is>
          <t>-</t>
        </is>
      </c>
      <c r="H33" s="23" t="inlineStr">
        <is>
          <t>-</t>
        </is>
      </c>
      <c r="I33" s="23" t="inlineStr">
        <is>
          <t>-</t>
        </is>
      </c>
      <c r="J33" s="23" t="inlineStr">
        <is>
          <t>-</t>
        </is>
      </c>
      <c r="K33" s="23" t="inlineStr">
        <is>
          <t>-</t>
        </is>
      </c>
      <c r="L33" s="23" t="inlineStr">
        <is>
          <t>-</t>
        </is>
      </c>
    </row>
    <row r="34" ht="18.5" customHeight="1">
      <c r="A34" s="6" t="inlineStr">
        <is>
          <t xml:space="preserve">   Depreciation, Amortization and Accretion, Net</t>
        </is>
      </c>
      <c r="B34" s="7" t="n">
        <v>74.062</v>
      </c>
      <c r="C34" s="7" t="n">
        <v>75.773</v>
      </c>
      <c r="D34" s="7" t="n">
        <v>69.35299999999999</v>
      </c>
      <c r="E34" s="7" t="n">
        <v>57.587</v>
      </c>
      <c r="F34" s="7" t="n">
        <v>47.858</v>
      </c>
      <c r="G34" s="7" t="n">
        <v>42.878</v>
      </c>
      <c r="H34" s="7" t="n">
        <v>40.53</v>
      </c>
      <c r="I34" s="7" t="n">
        <v>38.912</v>
      </c>
      <c r="J34" s="7" t="n">
        <v>44.941</v>
      </c>
      <c r="K34" s="7" t="n">
        <v>48.572</v>
      </c>
      <c r="L34" s="7" t="n">
        <v>52.628</v>
      </c>
    </row>
    <row r="35" ht="18.5" customHeight="1">
      <c r="A35" s="6" t="inlineStr">
        <is>
          <t xml:space="preserve">   Gain (Loss) on Disposition of Assets</t>
        </is>
      </c>
      <c r="B35" s="7" t="n">
        <v>-1.251</v>
      </c>
      <c r="C35" s="7" t="n">
        <v>-1.191</v>
      </c>
      <c r="D35" s="7" t="n">
        <v>-3.183</v>
      </c>
      <c r="E35" s="7" t="n">
        <v>-0.407</v>
      </c>
      <c r="F35" s="7" t="n">
        <v>-2.691</v>
      </c>
      <c r="G35" s="7" t="n">
        <v>-0.107</v>
      </c>
      <c r="H35" s="7" t="n">
        <v>-1.019</v>
      </c>
      <c r="I35" s="7" t="n">
        <v>-0.698</v>
      </c>
      <c r="J35" s="7" t="n">
        <v>-0.277</v>
      </c>
      <c r="K35" s="7" t="n">
        <v>-0.387</v>
      </c>
      <c r="L35" s="7" t="n">
        <v>-0.538</v>
      </c>
    </row>
    <row r="36" ht="18.5" customHeight="1">
      <c r="A36" s="6" t="inlineStr">
        <is>
          <t xml:space="preserve">   Gain (Loss) on Extinguishment of Debt</t>
        </is>
      </c>
      <c r="B36" s="23" t="inlineStr">
        <is>
          <t>-</t>
        </is>
      </c>
      <c r="C36" s="23" t="inlineStr">
        <is>
          <t>-</t>
        </is>
      </c>
      <c r="D36" s="7" t="n">
        <v>0</v>
      </c>
      <c r="E36" s="7" t="n">
        <v>0</v>
      </c>
      <c r="F36" s="7" t="n">
        <v>-0.226</v>
      </c>
      <c r="G36" s="23" t="inlineStr">
        <is>
          <t>-</t>
        </is>
      </c>
      <c r="H36" s="7" t="n">
        <v>0</v>
      </c>
      <c r="I36" s="7" t="n">
        <v>0</v>
      </c>
      <c r="J36" s="7" t="n">
        <v>-0.447</v>
      </c>
      <c r="K36" s="23" t="inlineStr">
        <is>
          <t>-</t>
        </is>
      </c>
      <c r="L36" s="23" t="inlineStr">
        <is>
          <t>-</t>
        </is>
      </c>
    </row>
    <row r="37" ht="18.5" customHeight="1">
      <c r="A37" s="6" t="inlineStr">
        <is>
          <t xml:space="preserve">   Goodwill</t>
        </is>
      </c>
      <c r="B37" s="7" t="n">
        <v>13.99</v>
      </c>
      <c r="C37" s="7" t="n">
        <v>13.99</v>
      </c>
      <c r="D37" s="7" t="n">
        <v>13.99</v>
      </c>
      <c r="E37" s="7" t="n">
        <v>13.99</v>
      </c>
      <c r="F37" s="7" t="n">
        <v>13.99</v>
      </c>
      <c r="G37" s="7" t="n">
        <v>13.99</v>
      </c>
      <c r="H37" s="7" t="n">
        <v>13.99</v>
      </c>
      <c r="I37" s="7" t="n">
        <v>13.99</v>
      </c>
      <c r="J37" s="7" t="n">
        <v>13.99</v>
      </c>
      <c r="K37" s="7" t="n">
        <v>13.99</v>
      </c>
      <c r="L37" s="7" t="n">
        <v>13.99</v>
      </c>
    </row>
    <row r="38" ht="18.5" customHeight="1">
      <c r="A38" s="6" t="inlineStr">
        <is>
          <t xml:space="preserve">   Goodwill and Intangible Asset Impairment</t>
        </is>
      </c>
      <c r="B38" s="23" t="inlineStr">
        <is>
          <t>-</t>
        </is>
      </c>
      <c r="C38" s="23" t="inlineStr">
        <is>
          <t>-</t>
        </is>
      </c>
      <c r="D38" s="23" t="inlineStr">
        <is>
          <t>-</t>
        </is>
      </c>
      <c r="E38" s="23" t="inlineStr">
        <is>
          <t>-</t>
        </is>
      </c>
      <c r="F38" s="23" t="inlineStr">
        <is>
          <t>-</t>
        </is>
      </c>
      <c r="G38" s="23" t="inlineStr">
        <is>
          <t>-</t>
        </is>
      </c>
      <c r="H38" s="23" t="inlineStr">
        <is>
          <t>-</t>
        </is>
      </c>
      <c r="I38" s="23" t="inlineStr">
        <is>
          <t>-</t>
        </is>
      </c>
      <c r="J38" s="7" t="n">
        <v>0</v>
      </c>
      <c r="K38" s="23" t="inlineStr">
        <is>
          <t>-</t>
        </is>
      </c>
      <c r="L38" s="23" t="inlineStr">
        <is>
          <t>-</t>
        </is>
      </c>
    </row>
    <row r="39" ht="18.5" customHeight="1">
      <c r="A39" s="6" t="inlineStr">
        <is>
          <t xml:space="preserve">   Goodwill, Impairment Loss</t>
        </is>
      </c>
      <c r="B39" s="23" t="inlineStr">
        <is>
          <t>-</t>
        </is>
      </c>
      <c r="C39" s="23" t="inlineStr">
        <is>
          <t>-</t>
        </is>
      </c>
      <c r="D39" s="23" t="inlineStr">
        <is>
          <t>-</t>
        </is>
      </c>
      <c r="E39" s="23" t="inlineStr">
        <is>
          <t>-</t>
        </is>
      </c>
      <c r="F39" s="23" t="inlineStr">
        <is>
          <t>-</t>
        </is>
      </c>
      <c r="G39" s="23" t="inlineStr">
        <is>
          <t>-</t>
        </is>
      </c>
      <c r="H39" s="23" t="inlineStr">
        <is>
          <t>-</t>
        </is>
      </c>
      <c r="I39" s="23" t="inlineStr">
        <is>
          <t>-</t>
        </is>
      </c>
      <c r="J39" s="7" t="n">
        <v>0</v>
      </c>
      <c r="K39" s="7" t="n">
        <v>0</v>
      </c>
      <c r="L39" s="7" t="n">
        <v>113.944</v>
      </c>
    </row>
    <row r="40" ht="18.5" customHeight="1">
      <c r="A40" s="6" t="inlineStr">
        <is>
          <t xml:space="preserve">   Impairment of Intangible Assets (Excluding Goodwill)</t>
        </is>
      </c>
      <c r="B40" s="23" t="inlineStr">
        <is>
          <t>-</t>
        </is>
      </c>
      <c r="C40" s="23" t="inlineStr">
        <is>
          <t>-</t>
        </is>
      </c>
      <c r="D40" s="23" t="inlineStr">
        <is>
          <t>-</t>
        </is>
      </c>
      <c r="E40" s="23" t="inlineStr">
        <is>
          <t>-</t>
        </is>
      </c>
      <c r="F40" s="23" t="inlineStr">
        <is>
          <t>-</t>
        </is>
      </c>
      <c r="G40" s="23" t="inlineStr">
        <is>
          <t>-</t>
        </is>
      </c>
      <c r="H40" s="23" t="inlineStr">
        <is>
          <t>-</t>
        </is>
      </c>
      <c r="I40" s="23" t="inlineStr">
        <is>
          <t>-</t>
        </is>
      </c>
      <c r="J40" s="7" t="n">
        <v>0</v>
      </c>
      <c r="K40" s="23" t="inlineStr">
        <is>
          <t>-</t>
        </is>
      </c>
      <c r="L40" s="23" t="inlineStr">
        <is>
          <t>-</t>
        </is>
      </c>
    </row>
    <row r="41" ht="18.5" customHeight="1">
      <c r="A41" s="6" t="inlineStr">
        <is>
          <t xml:space="preserve">   Impairment of Intangible Assets, Finite-lived</t>
        </is>
      </c>
      <c r="B41" s="7" t="n">
        <v>0</v>
      </c>
      <c r="C41" s="7" t="n">
        <v>0</v>
      </c>
      <c r="D41" s="7" t="n">
        <v>0</v>
      </c>
      <c r="E41" s="7" t="n">
        <v>8.164</v>
      </c>
      <c r="F41" s="7" t="n">
        <v>0</v>
      </c>
      <c r="G41" s="7" t="n">
        <v>0</v>
      </c>
      <c r="H41" s="7" t="n">
        <v>3.522</v>
      </c>
      <c r="I41" s="7" t="n">
        <v>0</v>
      </c>
      <c r="J41" s="23" t="inlineStr">
        <is>
          <t>-</t>
        </is>
      </c>
      <c r="K41" s="23" t="inlineStr">
        <is>
          <t>-</t>
        </is>
      </c>
      <c r="L41" s="7" t="n">
        <v>8.829000000000001</v>
      </c>
    </row>
    <row r="42" ht="18.5" customHeight="1">
      <c r="A42" s="6" t="inlineStr">
        <is>
          <t xml:space="preserve">   Income Tax Expense (Benefit)</t>
        </is>
      </c>
      <c r="B42" s="7" t="n">
        <v>303.468</v>
      </c>
      <c r="C42" s="7" t="n">
        <v>302.285</v>
      </c>
      <c r="D42" s="7" t="n">
        <v>277.208</v>
      </c>
      <c r="E42" s="7" t="n">
        <v>219.378</v>
      </c>
      <c r="F42" s="7" t="n">
        <v>149.26</v>
      </c>
      <c r="G42" s="7" t="n">
        <v>112.689</v>
      </c>
      <c r="H42" s="7" t="n">
        <v>118.939</v>
      </c>
      <c r="I42" s="7" t="n">
        <v>64.724</v>
      </c>
      <c r="J42" s="7" t="n">
        <v>64.626</v>
      </c>
      <c r="K42" s="7" t="n">
        <v>106.302</v>
      </c>
      <c r="L42" s="7" t="n">
        <v>-12.696</v>
      </c>
    </row>
    <row r="43" ht="18.5" customHeight="1">
      <c r="A43" s="6" t="inlineStr">
        <is>
          <t xml:space="preserve">   InterestExpenseNonoperating</t>
        </is>
      </c>
      <c r="B43" s="7" t="n">
        <v>2.53</v>
      </c>
      <c r="C43" s="7" t="n">
        <v>2.53</v>
      </c>
      <c r="D43" s="7" t="n">
        <v>3.517</v>
      </c>
      <c r="E43" s="23" t="inlineStr">
        <is>
          <t>-</t>
        </is>
      </c>
      <c r="F43" s="23" t="inlineStr">
        <is>
          <t>-</t>
        </is>
      </c>
      <c r="G43" s="23" t="inlineStr">
        <is>
          <t>-</t>
        </is>
      </c>
      <c r="H43" s="23" t="inlineStr">
        <is>
          <t>-</t>
        </is>
      </c>
      <c r="I43" s="23" t="inlineStr">
        <is>
          <t>-</t>
        </is>
      </c>
      <c r="J43" s="23" t="inlineStr">
        <is>
          <t>-</t>
        </is>
      </c>
      <c r="K43" s="23" t="inlineStr">
        <is>
          <t>-</t>
        </is>
      </c>
      <c r="L43" s="23" t="inlineStr">
        <is>
          <t>-</t>
        </is>
      </c>
    </row>
    <row r="44" ht="18.5" customHeight="1">
      <c r="A44" s="6" t="inlineStr">
        <is>
          <t xml:space="preserve">   Investment Income, Interest</t>
        </is>
      </c>
      <c r="B44" s="7" t="n">
        <v>63.613</v>
      </c>
      <c r="C44" s="7" t="n">
        <v>63.613</v>
      </c>
      <c r="D44" s="7" t="n">
        <v>68.389</v>
      </c>
      <c r="E44" s="7" t="n">
        <v>52.208</v>
      </c>
      <c r="F44" s="7" t="n">
        <v>15.563</v>
      </c>
      <c r="G44" s="7" t="n">
        <v>1.901</v>
      </c>
      <c r="H44" s="7" t="n">
        <v>2.637</v>
      </c>
      <c r="I44" s="7" t="n">
        <v>7.261</v>
      </c>
      <c r="J44" s="7" t="n">
        <v>6.028</v>
      </c>
      <c r="K44" s="7" t="n">
        <v>3.057</v>
      </c>
      <c r="L44" s="7" t="n">
        <v>0.778</v>
      </c>
    </row>
    <row r="45" ht="18.5" customHeight="1">
      <c r="A45" s="6" t="inlineStr">
        <is>
          <t xml:space="preserve">   Net Income (Loss) Attributable to Parent</t>
        </is>
      </c>
      <c r="B45" s="7" t="n">
        <v>1014.84</v>
      </c>
      <c r="C45" s="7" t="n">
        <v>1024.071</v>
      </c>
      <c r="D45" s="7" t="n">
        <v>966.091</v>
      </c>
      <c r="E45" s="7" t="n">
        <v>759.563</v>
      </c>
      <c r="F45" s="7" t="n">
        <v>516.822</v>
      </c>
      <c r="G45" s="7" t="n">
        <v>451.949</v>
      </c>
      <c r="H45" s="7" t="n">
        <v>382.575</v>
      </c>
      <c r="I45" s="7" t="n">
        <v>276.142</v>
      </c>
      <c r="J45" s="7" t="n">
        <v>264.308</v>
      </c>
      <c r="K45" s="7" t="n">
        <v>114.394</v>
      </c>
      <c r="L45" s="23" t="inlineStr">
        <is>
          <t>-</t>
        </is>
      </c>
    </row>
    <row r="46" ht="18.5" customHeight="1">
      <c r="A46" s="6" t="inlineStr">
        <is>
          <t xml:space="preserve">   Nonoperating Income (Expense)</t>
        </is>
      </c>
      <c r="B46" s="7" t="n">
        <v>63.453</v>
      </c>
      <c r="C46" s="7" t="n">
        <v>63.453</v>
      </c>
      <c r="D46" s="7" t="n">
        <v>64.20699999999999</v>
      </c>
      <c r="E46" s="7" t="n">
        <v>51.427</v>
      </c>
      <c r="F46" s="7" t="n">
        <v>13.331</v>
      </c>
      <c r="G46" s="7" t="n">
        <v>-0.06900000000000001</v>
      </c>
      <c r="H46" s="7" t="n">
        <v>-2.691</v>
      </c>
      <c r="I46" s="7" t="n">
        <v>2.731</v>
      </c>
      <c r="J46" s="7" t="n">
        <v>1.614</v>
      </c>
      <c r="K46" s="7" t="n">
        <v>-1.888</v>
      </c>
      <c r="L46" s="7" t="n">
        <v>-5.067</v>
      </c>
    </row>
    <row r="47" ht="18.5" customHeight="1">
      <c r="A47" s="6" t="inlineStr">
        <is>
          <t xml:space="preserve">   Other Nonoperating Income (Expense)</t>
        </is>
      </c>
      <c r="B47" s="7" t="n">
        <v>2.37</v>
      </c>
      <c r="C47" s="7" t="n">
        <v>2.37</v>
      </c>
      <c r="D47" s="7" t="n">
        <v>-0.665</v>
      </c>
      <c r="E47" s="7" t="n">
        <v>1.783</v>
      </c>
      <c r="F47" s="7" t="n">
        <v>1.21</v>
      </c>
      <c r="G47" s="7" t="n">
        <v>0.113</v>
      </c>
      <c r="H47" s="7" t="n">
        <v>0.7</v>
      </c>
      <c r="I47" s="7" t="n">
        <v>0.516</v>
      </c>
      <c r="J47" s="7" t="n">
        <v>0.247</v>
      </c>
      <c r="K47" s="7" t="n">
        <v>-0.36</v>
      </c>
      <c r="L47" s="7" t="n">
        <v>1.474</v>
      </c>
    </row>
    <row r="48" ht="18.5" customHeight="1">
      <c r="A48" s="6" t="inlineStr">
        <is>
          <t xml:space="preserve">   Payments of Financing Costs</t>
        </is>
      </c>
      <c r="B48" s="23" t="inlineStr">
        <is>
          <t>-</t>
        </is>
      </c>
      <c r="C48" s="23" t="inlineStr">
        <is>
          <t>-</t>
        </is>
      </c>
      <c r="D48" s="7" t="n">
        <v>0</v>
      </c>
      <c r="E48" s="7" t="n">
        <v>0</v>
      </c>
      <c r="F48" s="7" t="n">
        <v>1.537</v>
      </c>
      <c r="G48" s="23" t="inlineStr">
        <is>
          <t>-</t>
        </is>
      </c>
      <c r="H48" s="7" t="n">
        <v>0</v>
      </c>
      <c r="I48" s="7" t="n">
        <v>0</v>
      </c>
      <c r="J48" s="7" t="n">
        <v>1.297</v>
      </c>
      <c r="K48" s="7" t="n">
        <v>0</v>
      </c>
      <c r="L48" s="7" t="n">
        <v>0</v>
      </c>
    </row>
    <row r="49" ht="18.5" customHeight="1">
      <c r="A49" s="6" t="inlineStr">
        <is>
          <t xml:space="preserve">   Proceeds from Issuance of Common Stock</t>
        </is>
      </c>
      <c r="B49" s="7" t="n">
        <v>4.509</v>
      </c>
      <c r="C49" s="7" t="n">
        <v>4.509</v>
      </c>
      <c r="D49" s="7" t="n">
        <v>3.804</v>
      </c>
      <c r="E49" s="7" t="n">
        <v>2.444</v>
      </c>
      <c r="F49" s="7" t="n">
        <v>2.17</v>
      </c>
      <c r="G49" s="7" t="n">
        <v>1.991</v>
      </c>
      <c r="H49" s="7" t="n">
        <v>1.502</v>
      </c>
      <c r="I49" s="7" t="n">
        <v>3.615</v>
      </c>
      <c r="J49" s="23" t="inlineStr">
        <is>
          <t>-</t>
        </is>
      </c>
      <c r="K49" s="23" t="inlineStr">
        <is>
          <t>-</t>
        </is>
      </c>
      <c r="L49" s="23" t="inlineStr">
        <is>
          <t>-</t>
        </is>
      </c>
    </row>
    <row r="50" ht="18.5" customHeight="1">
      <c r="A50" s="6" t="inlineStr">
        <is>
          <t xml:space="preserve">   Proceeds from Stock Options Exercised</t>
        </is>
      </c>
      <c r="B50" s="7" t="n">
        <v>0</v>
      </c>
      <c r="C50" s="7" t="n">
        <v>0</v>
      </c>
      <c r="D50" s="7" t="n">
        <v>0.968</v>
      </c>
      <c r="E50" s="7" t="n">
        <v>4.786</v>
      </c>
      <c r="F50" s="7" t="n">
        <v>4.396</v>
      </c>
      <c r="G50" s="7" t="n">
        <v>1.204</v>
      </c>
      <c r="H50" s="7" t="n">
        <v>6.775</v>
      </c>
      <c r="I50" s="23" t="inlineStr">
        <is>
          <t>-</t>
        </is>
      </c>
      <c r="J50" s="23" t="inlineStr">
        <is>
          <t>-</t>
        </is>
      </c>
      <c r="K50" s="23" t="inlineStr">
        <is>
          <t>-</t>
        </is>
      </c>
      <c r="L50" s="23" t="inlineStr">
        <is>
          <t>-</t>
        </is>
      </c>
    </row>
    <row r="51" ht="18.5" customHeight="1">
      <c r="A51" s="6" t="inlineStr">
        <is>
          <t xml:space="preserve">   Stock or Unit Option Plan Expense</t>
        </is>
      </c>
      <c r="B51" s="23" t="inlineStr">
        <is>
          <t>-</t>
        </is>
      </c>
      <c r="C51" s="23" t="inlineStr">
        <is>
          <t>-</t>
        </is>
      </c>
      <c r="D51" s="23" t="inlineStr">
        <is>
          <t>-</t>
        </is>
      </c>
      <c r="E51" s="23" t="inlineStr">
        <is>
          <t>-</t>
        </is>
      </c>
      <c r="F51" s="23" t="inlineStr">
        <is>
          <t>-</t>
        </is>
      </c>
      <c r="G51" s="23" t="inlineStr">
        <is>
          <t>-</t>
        </is>
      </c>
      <c r="H51" s="23" t="inlineStr">
        <is>
          <t>-</t>
        </is>
      </c>
      <c r="I51" s="23" t="inlineStr">
        <is>
          <t>-</t>
        </is>
      </c>
      <c r="J51" s="7" t="n">
        <v>0.189</v>
      </c>
      <c r="K51" s="23" t="inlineStr">
        <is>
          <t>-</t>
        </is>
      </c>
      <c r="L51" s="23"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showGridLines="1"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DECKERS OUTDOOR CORP (DECK) - Desglose de Ventas</t>
        </is>
      </c>
    </row>
    <row r="2" ht="18" customHeight="1">
      <c r="A2" s="2" t="inlineStr">
        <is>
          <t>Ingresos por línea de producto y por región geográfica en Millones de USD ($M)</t>
        </is>
      </c>
    </row>
    <row r="3" ht="8" customHeight="1"/>
    <row r="4" ht="25" customHeight="1">
      <c r="A4" s="3" t="inlineStr">
        <is>
          <t>Segmento / Línea de Negocio</t>
        </is>
      </c>
      <c r="B4" s="4" t="inlineStr">
        <is>
          <t>LTM</t>
        </is>
      </c>
      <c r="C4" s="5" t="inlineStr">
        <is>
          <t>FY2026</t>
        </is>
      </c>
      <c r="D4" s="5" t="inlineStr">
        <is>
          <t>FY2025</t>
        </is>
      </c>
      <c r="E4" s="5" t="inlineStr">
        <is>
          <t>FY2024</t>
        </is>
      </c>
      <c r="F4" s="5" t="inlineStr">
        <is>
          <t>FY2023</t>
        </is>
      </c>
      <c r="G4" s="5" t="inlineStr">
        <is>
          <t>FY2022</t>
        </is>
      </c>
      <c r="H4" s="5" t="inlineStr">
        <is>
          <t>FY2021</t>
        </is>
      </c>
      <c r="I4" s="5" t="inlineStr">
        <is>
          <t>FY2020</t>
        </is>
      </c>
      <c r="J4" s="5" t="inlineStr">
        <is>
          <t>FY2019</t>
        </is>
      </c>
      <c r="K4" s="5" t="inlineStr">
        <is>
          <t>FY2018</t>
        </is>
      </c>
      <c r="L4" s="5" t="inlineStr">
        <is>
          <t>FY2017</t>
        </is>
      </c>
    </row>
    <row r="5" ht="22" customHeight="1">
      <c r="A5" s="18" t="inlineStr">
        <is>
          <t>VENTAS POR LÍNEA DE PRODUCTO / SERVICIO / MARCA</t>
        </is>
      </c>
      <c r="B5" s="19" t="n"/>
      <c r="C5" s="19" t="n"/>
      <c r="D5" s="19" t="n"/>
      <c r="E5" s="19" t="n"/>
      <c r="F5" s="19" t="n"/>
      <c r="G5" s="19" t="n"/>
      <c r="H5" s="19" t="n"/>
      <c r="I5" s="19" t="n"/>
      <c r="J5" s="19" t="n"/>
      <c r="K5" s="19" t="n"/>
      <c r="L5" s="19" t="n"/>
    </row>
    <row r="6" ht="18.5" customHeight="1">
      <c r="A6" s="6" t="inlineStr">
        <is>
          <t xml:space="preserve">   HOKA</t>
        </is>
      </c>
      <c r="B6" s="7" t="n">
        <v>2712</v>
      </c>
      <c r="C6" s="7" t="n">
        <v>2587.3</v>
      </c>
      <c r="D6" s="7" t="n">
        <v>2233.1</v>
      </c>
      <c r="E6" s="7" t="n">
        <v>1806.7</v>
      </c>
      <c r="F6" s="7" t="n">
        <v>1412.5</v>
      </c>
      <c r="G6" s="7" t="n">
        <v>891.6</v>
      </c>
      <c r="H6" s="7" t="n">
        <v>571.2</v>
      </c>
      <c r="I6" s="7" t="n">
        <v>352.6</v>
      </c>
      <c r="J6" s="7" t="n">
        <v>223.1</v>
      </c>
      <c r="K6" s="7" t="n">
        <v>153.8</v>
      </c>
      <c r="L6" s="7" t="n">
        <v>110.2</v>
      </c>
    </row>
    <row r="7" ht="18.5" customHeight="1">
      <c r="A7" s="6" t="inlineStr">
        <is>
          <t xml:space="preserve">   UGG</t>
        </is>
      </c>
      <c r="B7" s="7" t="n">
        <v>2778.6</v>
      </c>
      <c r="C7" s="7" t="n">
        <v>2738.8</v>
      </c>
      <c r="D7" s="7" t="n">
        <v>2531.4</v>
      </c>
      <c r="E7" s="7" t="n">
        <v>2239.1</v>
      </c>
      <c r="F7" s="7" t="n">
        <v>1929</v>
      </c>
      <c r="G7" s="7" t="n">
        <v>1982.1</v>
      </c>
      <c r="H7" s="7" t="n">
        <v>1716.8</v>
      </c>
      <c r="I7" s="7" t="n">
        <v>1521.9</v>
      </c>
      <c r="J7" s="7" t="n">
        <v>1533.2</v>
      </c>
      <c r="K7" s="7" t="n">
        <v>1506.4</v>
      </c>
      <c r="L7" s="7" t="n">
        <v>1478.6</v>
      </c>
    </row>
    <row r="8" ht="18.5" customHeight="1">
      <c r="A8" s="6" t="inlineStr">
        <is>
          <t xml:space="preserve">   Other Brands</t>
        </is>
      </c>
      <c r="B8" s="7" t="n">
        <v>147.6</v>
      </c>
      <c r="C8" s="7" t="n">
        <v>146.2</v>
      </c>
      <c r="D8" s="7" t="n">
        <v>221.2</v>
      </c>
      <c r="E8" s="7" t="n">
        <v>241.9</v>
      </c>
      <c r="F8" s="7" t="n">
        <v>285.8</v>
      </c>
      <c r="G8" s="7" t="n">
        <v>276.6</v>
      </c>
      <c r="H8" s="7" t="n">
        <v>257.6</v>
      </c>
      <c r="I8" s="7" t="n">
        <v>258.2</v>
      </c>
      <c r="J8" s="7" t="n">
        <v>264.1</v>
      </c>
      <c r="K8" s="7" t="n">
        <v>243.1</v>
      </c>
      <c r="L8" s="7" t="n">
        <v>201.3</v>
      </c>
    </row>
    <row r="9" ht="18.5" customHeight="1">
      <c r="A9" s="8" t="inlineStr">
        <is>
          <t xml:space="preserve">   Wholesale (Canal)</t>
        </is>
      </c>
      <c r="B9" s="9" t="n">
        <v>3250</v>
      </c>
      <c r="C9" s="9" t="n">
        <v>3208.1</v>
      </c>
      <c r="D9" s="9" t="n">
        <v>2855.9</v>
      </c>
      <c r="E9" s="9" t="n">
        <v>2432.3</v>
      </c>
      <c r="F9" s="9" t="n">
        <v>2160.7</v>
      </c>
      <c r="G9" s="9" t="n">
        <v>1936.7</v>
      </c>
      <c r="H9" s="9" t="n">
        <v>1478.9</v>
      </c>
      <c r="I9" s="9" t="n">
        <v>1395.8</v>
      </c>
      <c r="J9" s="9" t="n">
        <v>1305.4</v>
      </c>
      <c r="K9" s="9" t="n">
        <v>1187.6</v>
      </c>
      <c r="L9" s="9" t="n">
        <v>1125</v>
      </c>
    </row>
    <row r="10" ht="18.5" customHeight="1">
      <c r="A10" s="8" t="inlineStr">
        <is>
          <t xml:space="preserve">   Direct-to-Consumer (Canal)</t>
        </is>
      </c>
      <c r="B10" s="9" t="n">
        <v>2388.2</v>
      </c>
      <c r="C10" s="9" t="n">
        <v>2264.2</v>
      </c>
      <c r="D10" s="9" t="n">
        <v>2129.7</v>
      </c>
      <c r="E10" s="9" t="n">
        <v>1855.5</v>
      </c>
      <c r="F10" s="9" t="n">
        <v>1466.6</v>
      </c>
      <c r="G10" s="9" t="n">
        <v>1213.6</v>
      </c>
      <c r="H10" s="9" t="n">
        <v>1066.7</v>
      </c>
      <c r="I10" s="9" t="n">
        <v>736.9</v>
      </c>
      <c r="J10" s="9" t="n">
        <v>715</v>
      </c>
      <c r="K10" s="9" t="n">
        <v>715.7</v>
      </c>
      <c r="L10" s="9" t="n">
        <v>665.1</v>
      </c>
    </row>
    <row r="11" ht="10" customHeight="1"/>
    <row r="12" ht="22" customHeight="1">
      <c r="A12" s="18" t="inlineStr">
        <is>
          <t>VENTAS POR REGIÓN GEOGRÁFICA</t>
        </is>
      </c>
      <c r="B12" s="19" t="n"/>
      <c r="C12" s="19" t="n"/>
      <c r="D12" s="19" t="n"/>
      <c r="E12" s="19" t="n"/>
      <c r="F12" s="19" t="n"/>
      <c r="G12" s="19" t="n"/>
      <c r="H12" s="19" t="n"/>
      <c r="I12" s="19" t="n"/>
      <c r="J12" s="19" t="n"/>
      <c r="K12" s="19" t="n"/>
      <c r="L12" s="19" t="n"/>
    </row>
    <row r="13" ht="18.5" customHeight="1">
      <c r="A13" s="6" t="inlineStr">
        <is>
          <t xml:space="preserve">   Domestic (EE.UU.)</t>
        </is>
      </c>
      <c r="B13" s="7" t="n">
        <v>3238.5</v>
      </c>
      <c r="C13" s="7" t="n">
        <v>3191.5</v>
      </c>
      <c r="D13" s="7" t="n">
        <v>3186.7</v>
      </c>
      <c r="E13" s="7" t="n">
        <v>2863.7</v>
      </c>
      <c r="F13" s="7" t="n">
        <v>2451.5</v>
      </c>
      <c r="G13" s="7" t="n">
        <v>2167.8</v>
      </c>
      <c r="H13" s="7" t="n">
        <v>1761.5</v>
      </c>
      <c r="I13" s="7" t="n">
        <v>1401.7</v>
      </c>
      <c r="J13" s="7" t="n">
        <v>1278.4</v>
      </c>
      <c r="K13" s="7" t="n">
        <v>1174.1</v>
      </c>
      <c r="L13" s="7" t="n">
        <v>1110.5</v>
      </c>
    </row>
    <row r="14" ht="18.5" customHeight="1">
      <c r="A14" s="6" t="inlineStr">
        <is>
          <t xml:space="preserve">   International (Global)</t>
        </is>
      </c>
      <c r="B14" s="7" t="n">
        <v>2399.7</v>
      </c>
      <c r="C14" s="7" t="n">
        <v>2280.8</v>
      </c>
      <c r="D14" s="7" t="n">
        <v>1798.9</v>
      </c>
      <c r="E14" s="7" t="n">
        <v>1424.1</v>
      </c>
      <c r="F14" s="7" t="n">
        <v>1175.8</v>
      </c>
      <c r="G14" s="7" t="n">
        <v>982.5</v>
      </c>
      <c r="H14" s="7" t="n">
        <v>784.2</v>
      </c>
      <c r="I14" s="7" t="n">
        <v>731</v>
      </c>
      <c r="J14" s="7" t="n">
        <v>742.1</v>
      </c>
      <c r="K14" s="7" t="n">
        <v>729.3</v>
      </c>
      <c r="L14" s="7" t="n">
        <v>679.6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9"/>
  <sheetViews>
    <sheetView showGridLines="1" workbookViewId="0">
      <pane xSplit="3" ySplit="7" topLeftCell="D8"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s>
  <sheetData>
    <row r="1" ht="30" customHeight="1">
      <c r="A1" s="1" t="inlineStr">
        <is>
          <t>DECKERS OUTDOOR CORP (DECK) - Diagnóstico Fundamental: Piotroski F-Score &amp; Mohanram G-Score</t>
        </is>
      </c>
    </row>
    <row r="2" ht="18" customHeight="1">
      <c r="A2" s="2" t="inlineStr">
        <is>
          <t>Evaluación Cuantitativa de Solvencia Interna (0-9 Pts) y Calidad de Crecimiento Sectorial (0-8 Pts) | Mejoras Institucionales V2</t>
        </is>
      </c>
    </row>
    <row r="3" ht="8" customHeight="1"/>
    <row r="4" ht="22" customHeight="1">
      <c r="A4" s="18" t="inlineStr">
        <is>
          <t>DIAGNÓSTICO ESTRATÉGICO ACTUAL</t>
        </is>
      </c>
      <c r="B4" s="26" t="inlineStr">
        <is>
          <t>Período: LTM</t>
        </is>
      </c>
      <c r="C4" s="26" t="inlineStr">
        <is>
          <t>F-Score: 6/9 (SALUD SÓLIDA)</t>
        </is>
      </c>
      <c r="D4" s="26" t="inlineStr">
        <is>
          <t>G-Score: 7/8 (CRECIMIENTO DE ÉLITE)</t>
        </is>
      </c>
      <c r="E4" s="48" t="inlineStr">
        <is>
          <t>Sector: SIC 3021 - Rubber &amp; Plastics Footwear / Athletic &amp; Lifestyle Footwear</t>
        </is>
      </c>
      <c r="F4" s="70" t="n"/>
      <c r="G4" s="70" t="n"/>
      <c r="H4" s="70" t="n"/>
      <c r="I4" s="70" t="n"/>
      <c r="J4" s="70" t="n"/>
      <c r="K4" s="70" t="n"/>
      <c r="L4" s="70" t="n"/>
      <c r="M4" s="70" t="n"/>
      <c r="N4" s="70" t="n"/>
    </row>
    <row r="5" ht="36" customHeight="1">
      <c r="A5" s="27" t="inlineStr">
        <is>
          <t>CLASIFICACIÓN MATRIZ:</t>
        </is>
      </c>
      <c r="B5" s="28" t="inlineStr">
        <is>
          <t>💎 COMPOUNDER DE ÉLITE</t>
        </is>
      </c>
      <c r="C5" s="93" t="inlineStr">
        <is>
          <t>Compañía excepcional: Combina sólida salud financiera intrínseca, balance robusto, generación líquida de caja y desendeudamiento (F-Score sólido &gt;= 6) con superioridad competitiva, disciplina en I+D y crecimiento por encima de la mediana del sector (G-Score destacado &gt;= 6). Perfil ideal para inversión a largo plazo.</t>
        </is>
      </c>
    </row>
    <row r="6" ht="10" customHeight="1"/>
    <row r="7" ht="25" customHeight="1">
      <c r="A7" s="3" t="inlineStr">
        <is>
          <t>Criterio Fundamental (Piotroski 2000)</t>
        </is>
      </c>
      <c r="B7" s="3" t="inlineStr">
        <is>
          <t>Categoría</t>
        </is>
      </c>
      <c r="C7" s="3" t="inlineStr">
        <is>
          <t>Umbral / Regla</t>
        </is>
      </c>
      <c r="D7" s="4" t="inlineStr">
        <is>
          <t>LTM</t>
        </is>
      </c>
      <c r="E7" s="5" t="inlineStr">
        <is>
          <t>FY2026</t>
        </is>
      </c>
      <c r="F7" s="5" t="inlineStr">
        <is>
          <t>FY2025</t>
        </is>
      </c>
      <c r="G7" s="5" t="inlineStr">
        <is>
          <t>FY2024</t>
        </is>
      </c>
      <c r="H7" s="5" t="inlineStr">
        <is>
          <t>FY2023</t>
        </is>
      </c>
      <c r="I7" s="5" t="inlineStr">
        <is>
          <t>FY2022</t>
        </is>
      </c>
      <c r="J7" s="5" t="inlineStr">
        <is>
          <t>FY2021</t>
        </is>
      </c>
      <c r="K7" s="5" t="inlineStr">
        <is>
          <t>FY2020</t>
        </is>
      </c>
      <c r="L7" s="5" t="inlineStr">
        <is>
          <t>FY2019</t>
        </is>
      </c>
      <c r="M7" s="5" t="inlineStr">
        <is>
          <t>FY2018</t>
        </is>
      </c>
      <c r="N7" s="5" t="inlineStr">
        <is>
          <t>FY2017</t>
        </is>
      </c>
    </row>
    <row r="8" ht="18.5" customHeight="1">
      <c r="A8" s="6" t="inlineStr">
        <is>
          <t xml:space="preserve">   ROA Positivo</t>
        </is>
      </c>
      <c r="B8" s="29" t="inlineStr">
        <is>
          <t>Rentabilidad</t>
        </is>
      </c>
      <c r="C8" s="6" t="inlineStr">
        <is>
          <t>Net Income / Activos t-1 &gt; 0</t>
        </is>
      </c>
      <c r="D8" s="121" t="inlineStr">
        <is>
          <t>27.52% [1]</t>
        </is>
      </c>
      <c r="E8" s="121" t="inlineStr">
        <is>
          <t>28.68% [1]</t>
        </is>
      </c>
      <c r="F8" s="121" t="inlineStr">
        <is>
          <t>30.81% [1]</t>
        </is>
      </c>
      <c r="G8" s="121" t="inlineStr">
        <is>
          <t>29.71% [1]</t>
        </is>
      </c>
      <c r="H8" s="121" t="inlineStr">
        <is>
          <t>22.16% [1]</t>
        </is>
      </c>
      <c r="I8" s="121" t="inlineStr">
        <is>
          <t>20.85% [1]</t>
        </is>
      </c>
      <c r="J8" s="121" t="inlineStr">
        <is>
          <t>21.67% [1]</t>
        </is>
      </c>
      <c r="K8" s="121" t="inlineStr">
        <is>
          <t>19.35% [1]</t>
        </is>
      </c>
      <c r="L8" s="121" t="inlineStr">
        <is>
          <t>20.90% [1]</t>
        </is>
      </c>
      <c r="M8" s="121" t="inlineStr">
        <is>
          <t>9.60% [1]</t>
        </is>
      </c>
      <c r="N8" s="122" t="inlineStr">
        <is>
          <t>-3.97% [0]</t>
        </is>
      </c>
    </row>
    <row r="9" ht="18.5" customHeight="1">
      <c r="A9" s="6" t="inlineStr">
        <is>
          <t xml:space="preserve">   CFO Positivo</t>
        </is>
      </c>
      <c r="B9" s="29" t="inlineStr">
        <is>
          <t>Rentabilidad</t>
        </is>
      </c>
      <c r="C9" s="6" t="inlineStr">
        <is>
          <t>Operating Cash Flow &gt; 0</t>
        </is>
      </c>
      <c r="D9" s="121" t="inlineStr">
        <is>
          <t>$1,193.7M [1]</t>
        </is>
      </c>
      <c r="E9" s="121" t="inlineStr">
        <is>
          <t>$1,182.0M [1]</t>
        </is>
      </c>
      <c r="F9" s="121" t="inlineStr">
        <is>
          <t>$1,044.5M [1]</t>
        </is>
      </c>
      <c r="G9" s="121" t="inlineStr">
        <is>
          <t>$1,033.2M [1]</t>
        </is>
      </c>
      <c r="H9" s="121" t="inlineStr">
        <is>
          <t>$537.4M [1]</t>
        </is>
      </c>
      <c r="I9" s="121" t="inlineStr">
        <is>
          <t>$172.4M [1]</t>
        </is>
      </c>
      <c r="J9" s="121" t="inlineStr">
        <is>
          <t>$596.2M [1]</t>
        </is>
      </c>
      <c r="K9" s="121" t="inlineStr">
        <is>
          <t>$286.3M [1]</t>
        </is>
      </c>
      <c r="L9" s="121" t="inlineStr">
        <is>
          <t>$359.5M [1]</t>
        </is>
      </c>
      <c r="M9" s="121" t="inlineStr">
        <is>
          <t>$327.4M [1]</t>
        </is>
      </c>
      <c r="N9" s="121" t="inlineStr">
        <is>
          <t>$169.7M [1]</t>
        </is>
      </c>
    </row>
    <row r="10" ht="18.5" customHeight="1">
      <c r="A10" s="6" t="inlineStr">
        <is>
          <t xml:space="preserve">   Mejora Interanual de ROA</t>
        </is>
      </c>
      <c r="B10" s="29" t="inlineStr">
        <is>
          <t>Rentabilidad</t>
        </is>
      </c>
      <c r="C10" s="6" t="inlineStr">
        <is>
          <t>Delta ROA &gt; 0%</t>
        </is>
      </c>
      <c r="D10" s="122" t="inlineStr">
        <is>
          <t>-1.16% [0]</t>
        </is>
      </c>
      <c r="E10" s="122" t="inlineStr">
        <is>
          <t>-2.13% [0]</t>
        </is>
      </c>
      <c r="F10" s="121" t="inlineStr">
        <is>
          <t>+1.10% [1]</t>
        </is>
      </c>
      <c r="G10" s="121" t="inlineStr">
        <is>
          <t>+7.55% [1]</t>
        </is>
      </c>
      <c r="H10" s="121" t="inlineStr">
        <is>
          <t>+1.31% [1]</t>
        </is>
      </c>
      <c r="I10" s="122" t="inlineStr">
        <is>
          <t>-0.82% [0]</t>
        </is>
      </c>
      <c r="J10" s="121" t="inlineStr">
        <is>
          <t>+2.33% [1]</t>
        </is>
      </c>
      <c r="K10" s="122" t="inlineStr">
        <is>
          <t>-1.56% [0]</t>
        </is>
      </c>
      <c r="L10" s="121" t="inlineStr">
        <is>
          <t>+11.31% [1]</t>
        </is>
      </c>
      <c r="M10" s="121" t="inlineStr">
        <is>
          <t>+13.57% [1]</t>
        </is>
      </c>
      <c r="N10" s="122" t="inlineStr">
        <is>
          <t>N/A [0]</t>
        </is>
      </c>
    </row>
    <row r="11" ht="18.5" customHeight="1">
      <c r="A11" s="6" t="inlineStr">
        <is>
          <t xml:space="preserve">   Calidad Contable de Sloan</t>
        </is>
      </c>
      <c r="B11" s="29" t="inlineStr">
        <is>
          <t>Rentabilidad</t>
        </is>
      </c>
      <c r="C11" s="6" t="inlineStr">
        <is>
          <t>CFO &gt; Net Income</t>
        </is>
      </c>
      <c r="D11" s="121" t="inlineStr">
        <is>
          <t>$+178.9M [1]</t>
        </is>
      </c>
      <c r="E11" s="121" t="inlineStr">
        <is>
          <t>$+157.9M [1]</t>
        </is>
      </c>
      <c r="F11" s="121" t="inlineStr">
        <is>
          <t>$+78.4M [1]</t>
        </is>
      </c>
      <c r="G11" s="121" t="inlineStr">
        <is>
          <t>$+273.6M [1]</t>
        </is>
      </c>
      <c r="H11" s="121" t="inlineStr">
        <is>
          <t>$+20.6M [1]</t>
        </is>
      </c>
      <c r="I11" s="122" t="inlineStr">
        <is>
          <t>$-279.6M [0]</t>
        </is>
      </c>
      <c r="J11" s="121" t="inlineStr">
        <is>
          <t>$+213.6M [1]</t>
        </is>
      </c>
      <c r="K11" s="121" t="inlineStr">
        <is>
          <t>$+10.2M [1]</t>
        </is>
      </c>
      <c r="L11" s="121" t="inlineStr">
        <is>
          <t>$+95.2M [1]</t>
        </is>
      </c>
      <c r="M11" s="121" t="inlineStr">
        <is>
          <t>$+213.0M [1]</t>
        </is>
      </c>
      <c r="N11" s="121" t="inlineStr">
        <is>
          <t>$+217.0M [1]</t>
        </is>
      </c>
    </row>
    <row r="12" ht="18.5" customHeight="1">
      <c r="A12" s="6" t="inlineStr">
        <is>
          <t xml:space="preserve">   Desendeudamiento Financiero Total</t>
        </is>
      </c>
      <c r="B12" s="29" t="inlineStr">
        <is>
          <t>Apalancamiento</t>
        </is>
      </c>
      <c r="C12" s="6" t="inlineStr">
        <is>
          <t>Delta Deuda Total &lt;= 0%</t>
        </is>
      </c>
      <c r="D12" s="121" t="inlineStr">
        <is>
          <t>+0.00% [1]</t>
        </is>
      </c>
      <c r="E12" s="121" t="inlineStr">
        <is>
          <t>+0.00% [1]</t>
        </is>
      </c>
      <c r="F12" s="121" t="inlineStr">
        <is>
          <t>+0.00% [1]</t>
        </is>
      </c>
      <c r="G12" s="121" t="inlineStr">
        <is>
          <t>+0.00% [1]</t>
        </is>
      </c>
      <c r="H12" s="121" t="inlineStr">
        <is>
          <t>+0.00% [1]</t>
        </is>
      </c>
      <c r="I12" s="121" t="inlineStr">
        <is>
          <t>+0.00% [1]</t>
        </is>
      </c>
      <c r="J12" s="121" t="inlineStr">
        <is>
          <t>+0.00% [1]</t>
        </is>
      </c>
      <c r="K12" s="121" t="inlineStr">
        <is>
          <t>+0.00% [1]</t>
        </is>
      </c>
      <c r="L12" s="121" t="inlineStr">
        <is>
          <t>+0.00% [1]</t>
        </is>
      </c>
      <c r="M12" s="121" t="inlineStr">
        <is>
          <t>+0.00% [1]</t>
        </is>
      </c>
      <c r="N12" s="122" t="inlineStr">
        <is>
          <t>N/A [0]</t>
        </is>
      </c>
    </row>
    <row r="13" ht="18.5" customHeight="1">
      <c r="A13" s="6" t="inlineStr">
        <is>
          <t xml:space="preserve">   Mejora de Razón Corriente</t>
        </is>
      </c>
      <c r="B13" s="29" t="inlineStr">
        <is>
          <t>Liquidez</t>
        </is>
      </c>
      <c r="C13" s="6" t="inlineStr">
        <is>
          <t>Delta Current Ratio &gt; 0x</t>
        </is>
      </c>
      <c r="D13" s="122" t="inlineStr">
        <is>
          <t>-0.798x [0]</t>
        </is>
      </c>
      <c r="E13" s="122" t="inlineStr">
        <is>
          <t>-0.170x [0]</t>
        </is>
      </c>
      <c r="F13" s="121" t="inlineStr">
        <is>
          <t>+0.321x [1]</t>
        </is>
      </c>
      <c r="G13" s="122" t="inlineStr">
        <is>
          <t>-0.447x [0]</t>
        </is>
      </c>
      <c r="H13" s="121" t="inlineStr">
        <is>
          <t>+0.606x [1]</t>
        </is>
      </c>
      <c r="I13" s="122" t="inlineStr">
        <is>
          <t>-0.290x [0]</t>
        </is>
      </c>
      <c r="J13" s="122" t="inlineStr">
        <is>
          <t>-0.443x [0]</t>
        </is>
      </c>
      <c r="K13" s="122" t="inlineStr">
        <is>
          <t>-0.405x [0]</t>
        </is>
      </c>
      <c r="L13" s="122" t="inlineStr">
        <is>
          <t>-0.442x [0]</t>
        </is>
      </c>
      <c r="M13" s="122" t="inlineStr">
        <is>
          <t>-0.347x [0]</t>
        </is>
      </c>
      <c r="N13" s="122" t="inlineStr">
        <is>
          <t>N/A [0]</t>
        </is>
      </c>
    </row>
    <row r="14" ht="18.5" customHeight="1">
      <c r="A14" s="6" t="inlineStr">
        <is>
          <t xml:space="preserve">   Cero Dilución (Acciones Básicas)</t>
        </is>
      </c>
      <c r="B14" s="29" t="inlineStr">
        <is>
          <t>Capital</t>
        </is>
      </c>
      <c r="C14" s="6" t="inlineStr">
        <is>
          <t>Delta Acciones Básicas &lt;= 0</t>
        </is>
      </c>
      <c r="D14" s="121" t="inlineStr">
        <is>
          <t>-7.2M acciones [1]</t>
        </is>
      </c>
      <c r="E14" s="121" t="inlineStr">
        <is>
          <t>-6.5M acciones [1]</t>
        </is>
      </c>
      <c r="F14" s="122" t="inlineStr">
        <is>
          <t>+126.1M acciones [0]</t>
        </is>
      </c>
      <c r="G14" s="121" t="inlineStr">
        <is>
          <t>-0.6M acciones [1]</t>
        </is>
      </c>
      <c r="H14" s="121" t="inlineStr">
        <is>
          <t>-1.0M acciones [1]</t>
        </is>
      </c>
      <c r="I14" s="121" t="inlineStr">
        <is>
          <t>-0.5M acciones [1]</t>
        </is>
      </c>
      <c r="J14" s="121" t="inlineStr">
        <is>
          <t>-0.3M acciones [1]</t>
        </is>
      </c>
      <c r="K14" s="121" t="inlineStr">
        <is>
          <t>-1.3M acciones [1]</t>
        </is>
      </c>
      <c r="L14" s="121" t="inlineStr">
        <is>
          <t>-2.1M acciones [1]</t>
        </is>
      </c>
      <c r="M14" s="121" t="inlineStr">
        <is>
          <t>-0.2M acciones [1]</t>
        </is>
      </c>
      <c r="N14" s="122" t="inlineStr">
        <is>
          <t>N/A [0]</t>
        </is>
      </c>
    </row>
    <row r="15" ht="18.5" customHeight="1">
      <c r="A15" s="6" t="inlineStr">
        <is>
          <t xml:space="preserve">   Expansión de Margen Bruto</t>
        </is>
      </c>
      <c r="B15" s="29" t="inlineStr">
        <is>
          <t>Eficiencia</t>
        </is>
      </c>
      <c r="C15" s="6" t="inlineStr">
        <is>
          <t>Delta Margen Bruto &gt; 0%</t>
        </is>
      </c>
      <c r="D15" s="121" t="inlineStr">
        <is>
          <t>+0.10% [1]</t>
        </is>
      </c>
      <c r="E15" s="122" t="inlineStr">
        <is>
          <t>-0.18% [0]</t>
        </is>
      </c>
      <c r="F15" s="121" t="inlineStr">
        <is>
          <t>+2.25% [1]</t>
        </is>
      </c>
      <c r="G15" s="121" t="inlineStr">
        <is>
          <t>+5.31% [1]</t>
        </is>
      </c>
      <c r="H15" s="122" t="inlineStr">
        <is>
          <t>-0.70% [0]</t>
        </is>
      </c>
      <c r="I15" s="122" t="inlineStr">
        <is>
          <t>-2.95% [0]</t>
        </is>
      </c>
      <c r="J15" s="121" t="inlineStr">
        <is>
          <t>+2.23% [1]</t>
        </is>
      </c>
      <c r="K15" s="121" t="inlineStr">
        <is>
          <t>+0.26% [1]</t>
        </is>
      </c>
      <c r="L15" s="121" t="inlineStr">
        <is>
          <t>+2.54% [1]</t>
        </is>
      </c>
      <c r="M15" s="121" t="inlineStr">
        <is>
          <t>+2.29% [1]</t>
        </is>
      </c>
      <c r="N15" s="122" t="inlineStr">
        <is>
          <t>N/A [0]</t>
        </is>
      </c>
    </row>
    <row r="16" ht="18.5" customHeight="1">
      <c r="A16" s="6" t="inlineStr">
        <is>
          <t xml:space="preserve">   Expansión Rotación Activos</t>
        </is>
      </c>
      <c r="B16" s="29" t="inlineStr">
        <is>
          <t>Eficiencia</t>
        </is>
      </c>
      <c r="C16" s="6" t="inlineStr">
        <is>
          <t>Delta Rotación Activos &gt; 0x</t>
        </is>
      </c>
      <c r="D16" s="122" t="inlineStr">
        <is>
          <t>-0.034x [0]</t>
        </is>
      </c>
      <c r="E16" s="122" t="inlineStr">
        <is>
          <t>-0.057x [0]</t>
        </is>
      </c>
      <c r="F16" s="122" t="inlineStr">
        <is>
          <t>-0.087x [0]</t>
        </is>
      </c>
      <c r="G16" s="121" t="inlineStr">
        <is>
          <t>+0.122x [1]</t>
        </is>
      </c>
      <c r="H16" s="121" t="inlineStr">
        <is>
          <t>+0.102x [1]</t>
        </is>
      </c>
      <c r="I16" s="121" t="inlineStr">
        <is>
          <t>+0.011x [1]</t>
        </is>
      </c>
      <c r="J16" s="122" t="inlineStr">
        <is>
          <t>-0.052x [0]</t>
        </is>
      </c>
      <c r="K16" s="122" t="inlineStr">
        <is>
          <t>-0.104x [0]</t>
        </is>
      </c>
      <c r="L16" s="121" t="inlineStr">
        <is>
          <t>+0.001x [1]</t>
        </is>
      </c>
      <c r="M16" s="121" t="inlineStr">
        <is>
          <t>+0.095x [1]</t>
        </is>
      </c>
      <c r="N16" s="122" t="inlineStr">
        <is>
          <t>N/A [0]</t>
        </is>
      </c>
    </row>
    <row r="17" ht="18.5" customHeight="1">
      <c r="A17" s="12" t="inlineStr">
        <is>
          <t>TOTAL PIOTROSKI F-SCORE (0 a 9 Pts)</t>
        </is>
      </c>
      <c r="B17" s="12" t="inlineStr">
        <is>
          <t>PUNTUACIÓN</t>
        </is>
      </c>
      <c r="C17" s="12" t="inlineStr">
        <is>
          <t>Escala 0-9 (&gt;=7 Fuerte)</t>
        </is>
      </c>
      <c r="D17" s="32" t="inlineStr">
        <is>
          <t>6 / 9 Pts</t>
        </is>
      </c>
      <c r="E17" s="32" t="inlineStr">
        <is>
          <t>5 / 9 Pts</t>
        </is>
      </c>
      <c r="F17" s="33" t="inlineStr">
        <is>
          <t>7 / 9 Pts</t>
        </is>
      </c>
      <c r="G17" s="33" t="inlineStr">
        <is>
          <t>8 / 9 Pts</t>
        </is>
      </c>
      <c r="H17" s="33" t="inlineStr">
        <is>
          <t>8 / 9 Pts</t>
        </is>
      </c>
      <c r="I17" s="32" t="inlineStr">
        <is>
          <t>5 / 9 Pts</t>
        </is>
      </c>
      <c r="J17" s="33" t="inlineStr">
        <is>
          <t>7 / 9 Pts</t>
        </is>
      </c>
      <c r="K17" s="32" t="inlineStr">
        <is>
          <t>6 / 9 Pts</t>
        </is>
      </c>
      <c r="L17" s="33" t="inlineStr">
        <is>
          <t>8 / 9 Pts</t>
        </is>
      </c>
      <c r="M17" s="33" t="inlineStr">
        <is>
          <t>8 / 9 Pts</t>
        </is>
      </c>
      <c r="N17" s="34" t="inlineStr">
        <is>
          <t>2 / 9 Pts</t>
        </is>
      </c>
    </row>
    <row r="18" ht="18.5" customHeight="1">
      <c r="A18" s="29" t="inlineStr">
        <is>
          <t>Dictamen de Salud Financiera</t>
        </is>
      </c>
      <c r="B18" s="29" t="inlineStr">
        <is>
          <t>-</t>
        </is>
      </c>
      <c r="C18" s="29" t="inlineStr">
        <is>
          <t>Clasificación</t>
        </is>
      </c>
      <c r="D18" s="35" t="inlineStr">
        <is>
          <t>SALUD SÓLIDA</t>
        </is>
      </c>
      <c r="E18" s="35" t="inlineStr">
        <is>
          <t>SALUD MODERADA</t>
        </is>
      </c>
      <c r="F18" s="35" t="inlineStr">
        <is>
          <t>SALUD SÓLIDA</t>
        </is>
      </c>
      <c r="G18" s="35" t="inlineStr">
        <is>
          <t>SALUD EXCEPCIONAL</t>
        </is>
      </c>
      <c r="H18" s="35" t="inlineStr">
        <is>
          <t>SALUD EXCEPCIONAL</t>
        </is>
      </c>
      <c r="I18" s="35" t="inlineStr">
        <is>
          <t>SALUD MODERADA</t>
        </is>
      </c>
      <c r="J18" s="35" t="inlineStr">
        <is>
          <t>SALUD SÓLIDA</t>
        </is>
      </c>
      <c r="K18" s="35" t="inlineStr">
        <is>
          <t>SALUD SÓLIDA</t>
        </is>
      </c>
      <c r="L18" s="35" t="inlineStr">
        <is>
          <t>SALUD EXCEPCIONAL</t>
        </is>
      </c>
      <c r="M18" s="35" t="inlineStr">
        <is>
          <t>SALUD EXCEPCIONAL</t>
        </is>
      </c>
      <c r="N18" s="35" t="inlineStr">
        <is>
          <t>VULNERABILIDAD FINANCIERA</t>
        </is>
      </c>
    </row>
    <row r="19" ht="10" customHeight="1"/>
    <row r="20" ht="10" customHeight="1"/>
    <row r="21" ht="25" customHeight="1">
      <c r="A21" s="3" t="inlineStr">
        <is>
          <t>Criterio de Crecimiento (Mohanram 2005)</t>
        </is>
      </c>
      <c r="B21" s="3" t="inlineStr">
        <is>
          <t>Categoría</t>
        </is>
      </c>
      <c r="C21" s="3" t="inlineStr">
        <is>
          <t>Benchmark Sectorial</t>
        </is>
      </c>
      <c r="D21" s="4" t="inlineStr">
        <is>
          <t>LTM</t>
        </is>
      </c>
      <c r="E21" s="5" t="inlineStr">
        <is>
          <t>FY2026</t>
        </is>
      </c>
      <c r="F21" s="5" t="inlineStr">
        <is>
          <t>FY2025</t>
        </is>
      </c>
      <c r="G21" s="5" t="inlineStr">
        <is>
          <t>FY2024</t>
        </is>
      </c>
      <c r="H21" s="5" t="inlineStr">
        <is>
          <t>FY2023</t>
        </is>
      </c>
      <c r="I21" s="5" t="inlineStr">
        <is>
          <t>FY2022</t>
        </is>
      </c>
      <c r="J21" s="5" t="inlineStr">
        <is>
          <t>FY2021</t>
        </is>
      </c>
      <c r="K21" s="5" t="inlineStr">
        <is>
          <t>FY2020</t>
        </is>
      </c>
      <c r="L21" s="5" t="inlineStr">
        <is>
          <t>FY2019</t>
        </is>
      </c>
      <c r="M21" s="5" t="inlineStr">
        <is>
          <t>FY2018</t>
        </is>
      </c>
      <c r="N21" s="5" t="inlineStr">
        <is>
          <t>FY2017</t>
        </is>
      </c>
    </row>
    <row r="22" ht="18.5" customHeight="1">
      <c r="A22" s="6" t="inlineStr">
        <is>
          <t xml:space="preserve">   ROA &gt; Mediana del Sector</t>
        </is>
      </c>
      <c r="B22" s="29" t="inlineStr">
        <is>
          <t>Rentabilidad</t>
        </is>
      </c>
      <c r="C22" s="6" t="inlineStr">
        <is>
          <t>&gt; Mediana Sector (8.09%)</t>
        </is>
      </c>
      <c r="D22" s="121" t="inlineStr">
        <is>
          <t>27.52% [1]</t>
        </is>
      </c>
      <c r="E22" s="121" t="inlineStr">
        <is>
          <t>28.68% [1]</t>
        </is>
      </c>
      <c r="F22" s="121" t="inlineStr">
        <is>
          <t>30.81% [1]</t>
        </is>
      </c>
      <c r="G22" s="121" t="inlineStr">
        <is>
          <t>29.71% [1]</t>
        </is>
      </c>
      <c r="H22" s="121" t="inlineStr">
        <is>
          <t>22.16% [1]</t>
        </is>
      </c>
      <c r="I22" s="121" t="inlineStr">
        <is>
          <t>20.85% [1]</t>
        </is>
      </c>
      <c r="J22" s="121" t="inlineStr">
        <is>
          <t>21.67% [1]</t>
        </is>
      </c>
      <c r="K22" s="121" t="inlineStr">
        <is>
          <t>19.35% [1]</t>
        </is>
      </c>
      <c r="L22" s="121" t="inlineStr">
        <is>
          <t>20.90% [1]</t>
        </is>
      </c>
      <c r="M22" s="121" t="inlineStr">
        <is>
          <t>9.60% [1]</t>
        </is>
      </c>
      <c r="N22" s="122" t="inlineStr">
        <is>
          <t>-3.97% [0]</t>
        </is>
      </c>
    </row>
    <row r="23" ht="18.5" customHeight="1">
      <c r="A23" s="6" t="inlineStr">
        <is>
          <t xml:space="preserve">   CFROA &gt; Mediana del Sector</t>
        </is>
      </c>
      <c r="B23" s="29" t="inlineStr">
        <is>
          <t>Flujo de Caja</t>
        </is>
      </c>
      <c r="C23" s="6" t="inlineStr">
        <is>
          <t>&gt; Mediana Sector (8.47%)</t>
        </is>
      </c>
      <c r="D23" s="121" t="inlineStr">
        <is>
          <t>32.37% [1]</t>
        </is>
      </c>
      <c r="E23" s="121" t="inlineStr">
        <is>
          <t>33.11% [1]</t>
        </is>
      </c>
      <c r="F23" s="121" t="inlineStr">
        <is>
          <t>33.31% [1]</t>
        </is>
      </c>
      <c r="G23" s="121" t="inlineStr">
        <is>
          <t>40.42% [1]</t>
        </is>
      </c>
      <c r="H23" s="121" t="inlineStr">
        <is>
          <t>23.04% [1]</t>
        </is>
      </c>
      <c r="I23" s="122" t="inlineStr">
        <is>
          <t>7.95% [0]</t>
        </is>
      </c>
      <c r="J23" s="121" t="inlineStr">
        <is>
          <t>33.78% [1]</t>
        </is>
      </c>
      <c r="K23" s="121" t="inlineStr">
        <is>
          <t>20.06% [1]</t>
        </is>
      </c>
      <c r="L23" s="121" t="inlineStr">
        <is>
          <t>28.43% [1]</t>
        </is>
      </c>
      <c r="M23" s="121" t="inlineStr">
        <is>
          <t>27.47% [1]</t>
        </is>
      </c>
      <c r="N23" s="121" t="inlineStr">
        <is>
          <t>14.24% [1]</t>
        </is>
      </c>
    </row>
    <row r="24" ht="18.5" customHeight="1">
      <c r="A24" s="6" t="inlineStr">
        <is>
          <t xml:space="preserve">   Calidad Contable (CFO &gt; NI)</t>
        </is>
      </c>
      <c r="B24" s="29" t="inlineStr">
        <is>
          <t>Devengos</t>
        </is>
      </c>
      <c r="C24" s="6" t="inlineStr">
        <is>
          <t>CFO &gt; Utilidad Neta</t>
        </is>
      </c>
      <c r="D24" s="121" t="inlineStr">
        <is>
          <t>$+178.9M [1]</t>
        </is>
      </c>
      <c r="E24" s="121" t="inlineStr">
        <is>
          <t>$+157.9M [1]</t>
        </is>
      </c>
      <c r="F24" s="121" t="inlineStr">
        <is>
          <t>$+78.4M [1]</t>
        </is>
      </c>
      <c r="G24" s="121" t="inlineStr">
        <is>
          <t>$+273.6M [1]</t>
        </is>
      </c>
      <c r="H24" s="121" t="inlineStr">
        <is>
          <t>$+20.6M [1]</t>
        </is>
      </c>
      <c r="I24" s="122" t="inlineStr">
        <is>
          <t>$-279.6M [0]</t>
        </is>
      </c>
      <c r="J24" s="121" t="inlineStr">
        <is>
          <t>$+213.6M [1]</t>
        </is>
      </c>
      <c r="K24" s="121" t="inlineStr">
        <is>
          <t>$+10.2M [1]</t>
        </is>
      </c>
      <c r="L24" s="121" t="inlineStr">
        <is>
          <t>$+95.2M [1]</t>
        </is>
      </c>
      <c r="M24" s="121" t="inlineStr">
        <is>
          <t>$+213.0M [1]</t>
        </is>
      </c>
      <c r="N24" s="121" t="inlineStr">
        <is>
          <t>$+217.0M [1]</t>
        </is>
      </c>
    </row>
    <row r="25" ht="18.5" customHeight="1">
      <c r="A25" s="6" t="inlineStr">
        <is>
          <t xml:space="preserve">   Estabilidad / Nivel Superior de ROA</t>
        </is>
      </c>
      <c r="B25" s="29" t="inlineStr">
        <is>
          <t>Predictibilidad</t>
        </is>
      </c>
      <c r="C25" s="6" t="inlineStr">
        <is>
          <t>CV &lt; 0.35 o ROA &gt;= P75 (9.76%)</t>
        </is>
      </c>
      <c r="D25" s="121" t="inlineStr">
        <is>
          <t>CV=0.16 [1]</t>
        </is>
      </c>
      <c r="E25" s="121" t="inlineStr">
        <is>
          <t>CV=0.16 [1]</t>
        </is>
      </c>
      <c r="F25" s="121" t="inlineStr">
        <is>
          <t>CV=0.18 [1]</t>
        </is>
      </c>
      <c r="G25" s="121" t="inlineStr">
        <is>
          <t>CV=0.17 [1]</t>
        </is>
      </c>
      <c r="H25" s="121" t="inlineStr">
        <is>
          <t>CV=0.10 [1]</t>
        </is>
      </c>
      <c r="I25" s="121" t="inlineStr">
        <is>
          <t>CV=0.26 [1]</t>
        </is>
      </c>
      <c r="J25" s="121" t="inlineStr">
        <is>
          <t>CV=0.82 [1]</t>
        </is>
      </c>
      <c r="K25" s="121" t="inlineStr">
        <is>
          <t>CV=1.02 [1]</t>
        </is>
      </c>
      <c r="L25" s="121" t="inlineStr">
        <is>
          <t>CV=1.44 [1]</t>
        </is>
      </c>
      <c r="M25" s="122" t="inlineStr">
        <is>
          <t>CV=3.63 [0]</t>
        </is>
      </c>
      <c r="N25" s="122" t="inlineStr">
        <is>
          <t>N/A [0]</t>
        </is>
      </c>
    </row>
    <row r="26" ht="18.5" customHeight="1">
      <c r="A26" s="6" t="inlineStr">
        <is>
          <t xml:space="preserve">   Estabilidad / Hipercrecimiento</t>
        </is>
      </c>
      <c r="B26" s="29" t="inlineStr">
        <is>
          <t>Predictibilidad</t>
        </is>
      </c>
      <c r="C26" s="6" t="inlineStr">
        <is>
          <t>CV &lt; 0.40 o g &gt;= 20%</t>
        </is>
      </c>
      <c r="D26" s="121" t="inlineStr">
        <is>
          <t>CV=0.24 [1]</t>
        </is>
      </c>
      <c r="E26" s="121" t="inlineStr">
        <is>
          <t>CV=0.24 [1]</t>
        </is>
      </c>
      <c r="F26" s="121" t="inlineStr">
        <is>
          <t>CV=0.21 [1]</t>
        </is>
      </c>
      <c r="G26" s="121" t="inlineStr">
        <is>
          <t>CV=0.19 [1]</t>
        </is>
      </c>
      <c r="H26" s="122" t="inlineStr">
        <is>
          <t>CV=0.49 [0]</t>
        </is>
      </c>
      <c r="I26" s="122" t="inlineStr">
        <is>
          <t>CV=0.67 [0]</t>
        </is>
      </c>
      <c r="J26" s="122" t="inlineStr">
        <is>
          <t>CV=0.72 [0]</t>
        </is>
      </c>
      <c r="K26" s="121" t="inlineStr">
        <is>
          <t>CV=0.07 [1]</t>
        </is>
      </c>
      <c r="L26" s="121" t="inlineStr">
        <is>
          <t>CV=0.02 [1]</t>
        </is>
      </c>
      <c r="M26" s="122" t="inlineStr">
        <is>
          <t>N/A [0]</t>
        </is>
      </c>
      <c r="N26" s="122" t="inlineStr">
        <is>
          <t>N/A [0]</t>
        </is>
      </c>
    </row>
    <row r="27" ht="18.5" customHeight="1">
      <c r="A27" s="6" t="inlineStr">
        <is>
          <t xml:space="preserve">   Intensidad en I+D vs Sector</t>
        </is>
      </c>
      <c r="B27" s="29" t="inlineStr">
        <is>
          <t>Intangibles</t>
        </is>
      </c>
      <c r="C27" s="6" t="inlineStr">
        <is>
          <t>R&amp;D / Activos &gt; 0.00%</t>
        </is>
      </c>
      <c r="D27" s="121" t="inlineStr">
        <is>
          <t>1.87% [1]</t>
        </is>
      </c>
      <c r="E27" s="121" t="inlineStr">
        <is>
          <t>1.93% [1]</t>
        </is>
      </c>
      <c r="F27" s="121" t="inlineStr">
        <is>
          <t>1.81% [1]</t>
        </is>
      </c>
      <c r="G27" s="121" t="inlineStr">
        <is>
          <t>1.92% [1]</t>
        </is>
      </c>
      <c r="H27" s="121" t="inlineStr">
        <is>
          <t>1.66% [1]</t>
        </is>
      </c>
      <c r="I27" s="121" t="inlineStr">
        <is>
          <t>1.54% [1]</t>
        </is>
      </c>
      <c r="J27" s="121" t="inlineStr">
        <is>
          <t>1.62% [1]</t>
        </is>
      </c>
      <c r="K27" s="121" t="inlineStr">
        <is>
          <t>1.93% [1]</t>
        </is>
      </c>
      <c r="L27" s="121" t="inlineStr">
        <is>
          <t>1.83% [1]</t>
        </is>
      </c>
      <c r="M27" s="121" t="inlineStr">
        <is>
          <t>1.88% [1]</t>
        </is>
      </c>
      <c r="N27" s="121" t="inlineStr">
        <is>
          <t>1.78% [1]</t>
        </is>
      </c>
    </row>
    <row r="28" ht="18.5" customHeight="1">
      <c r="A28" s="6" t="inlineStr">
        <is>
          <t xml:space="preserve">   Inversión de Capital / Asset-Light</t>
        </is>
      </c>
      <c r="B28" s="29" t="inlineStr">
        <is>
          <t>Inversión</t>
        </is>
      </c>
      <c r="C28" s="6" t="inlineStr">
        <is>
          <t>Reinversión &gt; 2.23%</t>
        </is>
      </c>
      <c r="D28" s="121" t="inlineStr">
        <is>
          <t>3.93% (Total) [1]</t>
        </is>
      </c>
      <c r="E28" s="121" t="inlineStr">
        <is>
          <t>4.30% (Total) [1]</t>
        </is>
      </c>
      <c r="F28" s="121" t="inlineStr">
        <is>
          <t>4.56% (Total) [1]</t>
        </is>
      </c>
      <c r="G28" s="121" t="inlineStr">
        <is>
          <t>5.42% (Total) [1]</t>
        </is>
      </c>
      <c r="H28" s="121" t="inlineStr">
        <is>
          <t>5.13% (Total) [1]</t>
        </is>
      </c>
      <c r="I28" s="121" t="inlineStr">
        <is>
          <t>3.89% (Total) [1]</t>
        </is>
      </c>
      <c r="J28" s="121" t="inlineStr">
        <is>
          <t>3.45% (Total) [1]</t>
        </is>
      </c>
      <c r="K28" s="121" t="inlineStr">
        <is>
          <t>4.20% (Total) [1]</t>
        </is>
      </c>
      <c r="L28" s="121" t="inlineStr">
        <is>
          <t>4.13% (Total) [1]</t>
        </is>
      </c>
      <c r="M28" s="121" t="inlineStr">
        <is>
          <t>4.80% (Total) [1]</t>
        </is>
      </c>
      <c r="N28" s="121" t="inlineStr">
        <is>
          <t>5.52% (Total) [1]</t>
        </is>
      </c>
    </row>
    <row r="29" ht="18.5" customHeight="1">
      <c r="A29" s="6" t="inlineStr">
        <is>
          <t xml:space="preserve">   Apalancamiento Comercial (SG&amp;A)</t>
        </is>
      </c>
      <c r="B29" s="29" t="inlineStr">
        <is>
          <t>Eficiencia</t>
        </is>
      </c>
      <c r="C29" s="6" t="inlineStr">
        <is>
          <t>% Delta Ventas &gt; % Delta SG&amp;A</t>
        </is>
      </c>
      <c r="D29" s="122" t="inlineStr">
        <is>
          <t>Ventas: +1.0% vs SG&amp;A: +2.5% [0]</t>
        </is>
      </c>
      <c r="E29" s="122" t="inlineStr">
        <is>
          <t>Ventas: +9.8% vs SG&amp;A: +11.0% [0]</t>
        </is>
      </c>
      <c r="F29" s="122" t="inlineStr">
        <is>
          <t>Ventas: +16.3% vs SG&amp;A: +17.1% [0]</t>
        </is>
      </c>
      <c r="G29" s="122" t="inlineStr">
        <is>
          <t>Ventas: +18.2% vs SG&amp;A: +24.3% [0]</t>
        </is>
      </c>
      <c r="H29" s="121" t="inlineStr">
        <is>
          <t>Ventas: +15.1% vs SG&amp;A: +12.4% [1]</t>
        </is>
      </c>
      <c r="I29" s="121" t="inlineStr">
        <is>
          <t>Ventas: +23.8% vs SG&amp;A: +19.9% [1]</t>
        </is>
      </c>
      <c r="J29" s="121" t="inlineStr">
        <is>
          <t>Ventas: +19.4% vs SG&amp;A: +13.6% [1]</t>
        </is>
      </c>
      <c r="K29" s="122" t="inlineStr">
        <is>
          <t>Ventas: +5.6% vs SG&amp;A: +7.4% [0]</t>
        </is>
      </c>
      <c r="L29" s="121" t="inlineStr">
        <is>
          <t>Ventas: +6.2% vs SG&amp;A: +0.5% [1]</t>
        </is>
      </c>
      <c r="M29" s="121" t="inlineStr">
        <is>
          <t>Ventas: +6.3% vs SG&amp;A: -15.3% [1]</t>
        </is>
      </c>
      <c r="N29" s="122" t="inlineStr">
        <is>
          <t>N/A [0]</t>
        </is>
      </c>
    </row>
    <row r="30" ht="18.5" customHeight="1">
      <c r="A30" s="12" t="inlineStr">
        <is>
          <t>TOTAL MOHANRAM G-SCORE (0 a 8 Pts)</t>
        </is>
      </c>
      <c r="B30" s="12" t="inlineStr">
        <is>
          <t>PUNTUACIÓN</t>
        </is>
      </c>
      <c r="C30" s="12" t="inlineStr">
        <is>
          <t>Escala 0-8 (&gt;=6 Élite)</t>
        </is>
      </c>
      <c r="D30" s="33" t="inlineStr">
        <is>
          <t>7 / 8 Pts</t>
        </is>
      </c>
      <c r="E30" s="33" t="inlineStr">
        <is>
          <t>7 / 8 Pts</t>
        </is>
      </c>
      <c r="F30" s="33" t="inlineStr">
        <is>
          <t>7 / 8 Pts</t>
        </is>
      </c>
      <c r="G30" s="33" t="inlineStr">
        <is>
          <t>7 / 8 Pts</t>
        </is>
      </c>
      <c r="H30" s="33" t="inlineStr">
        <is>
          <t>7 / 8 Pts</t>
        </is>
      </c>
      <c r="I30" s="32" t="inlineStr">
        <is>
          <t>5 / 8 Pts</t>
        </is>
      </c>
      <c r="J30" s="33" t="inlineStr">
        <is>
          <t>7 / 8 Pts</t>
        </is>
      </c>
      <c r="K30" s="33" t="inlineStr">
        <is>
          <t>7 / 8 Pts</t>
        </is>
      </c>
      <c r="L30" s="33" t="inlineStr">
        <is>
          <t>8 / 8 Pts</t>
        </is>
      </c>
      <c r="M30" s="33" t="inlineStr">
        <is>
          <t>6 / 8 Pts</t>
        </is>
      </c>
      <c r="N30" s="32" t="inlineStr">
        <is>
          <t>4 / 8 Pts</t>
        </is>
      </c>
    </row>
    <row r="31" ht="18.5" customHeight="1">
      <c r="A31" s="29" t="inlineStr">
        <is>
          <t>Dictamen de Calidad de Crecimiento</t>
        </is>
      </c>
      <c r="B31" s="29" t="inlineStr">
        <is>
          <t>-</t>
        </is>
      </c>
      <c r="C31" s="29" t="inlineStr">
        <is>
          <t>Clasificación</t>
        </is>
      </c>
      <c r="D31" s="35" t="inlineStr">
        <is>
          <t>CRECIMIENTO DE ÉLITE</t>
        </is>
      </c>
      <c r="E31" s="35" t="inlineStr">
        <is>
          <t>CRECIMIENTO DE ÉLITE</t>
        </is>
      </c>
      <c r="F31" s="35" t="inlineStr">
        <is>
          <t>CRECIMIENTO DE ÉLITE</t>
        </is>
      </c>
      <c r="G31" s="35" t="inlineStr">
        <is>
          <t>CRECIMIENTO DE ÉLITE</t>
        </is>
      </c>
      <c r="H31" s="35" t="inlineStr">
        <is>
          <t>CRECIMIENTO DE ÉLITE</t>
        </is>
      </c>
      <c r="I31" s="35" t="inlineStr">
        <is>
          <t>CRECIMIENTO PROMEDIO</t>
        </is>
      </c>
      <c r="J31" s="35" t="inlineStr">
        <is>
          <t>CRECIMIENTO DE ÉLITE</t>
        </is>
      </c>
      <c r="K31" s="35" t="inlineStr">
        <is>
          <t>CRECIMIENTO DE ÉLITE</t>
        </is>
      </c>
      <c r="L31" s="35" t="inlineStr">
        <is>
          <t>CRECIMIENTO DE ÉLITE</t>
        </is>
      </c>
      <c r="M31" s="35" t="inlineStr">
        <is>
          <t>CRECIMIENTO DE ÉLITE</t>
        </is>
      </c>
      <c r="N31" s="35" t="inlineStr">
        <is>
          <t>CRECIMIENTO PROMEDIO</t>
        </is>
      </c>
    </row>
    <row r="32" ht="10" customHeight="1"/>
    <row r="33" ht="10" customHeight="1"/>
    <row r="34" ht="22" customHeight="1">
      <c r="A34" s="18" t="inlineStr">
        <is>
          <t>MATRIZ COMBINADA Y CLASIFICACIÓN ESTRATÉGICA</t>
        </is>
      </c>
      <c r="B34" s="19" t="n"/>
      <c r="C34" s="19" t="n"/>
      <c r="D34" s="19" t="n"/>
      <c r="E34" s="19" t="n"/>
      <c r="F34" s="19" t="n"/>
      <c r="G34" s="19" t="n"/>
      <c r="H34" s="19" t="n"/>
      <c r="I34" s="19" t="n"/>
      <c r="J34" s="19" t="n"/>
      <c r="K34" s="19" t="n"/>
      <c r="L34" s="19" t="n"/>
      <c r="M34" s="19" t="n"/>
      <c r="N34" s="19" t="n"/>
    </row>
    <row r="35" ht="18.5" customHeight="1">
      <c r="A35" s="36" t="inlineStr">
        <is>
          <t xml:space="preserve">   Cuadrante Estratégico</t>
        </is>
      </c>
      <c r="B35" s="29" t="inlineStr">
        <is>
          <t>Posición</t>
        </is>
      </c>
      <c r="C35" s="29" t="inlineStr">
        <is>
          <t>Matriz 2x2</t>
        </is>
      </c>
      <c r="D35" s="35" t="inlineStr">
        <is>
          <t>💎 COMPOUNDER DE ÉLITE</t>
        </is>
      </c>
      <c r="E35" s="35" t="inlineStr">
        <is>
          <t>⚠️ CRECIMIENTO VULNERABLE</t>
        </is>
      </c>
      <c r="F35" s="35" t="inlineStr">
        <is>
          <t>💎 COMPOUNDER DE ÉLITE</t>
        </is>
      </c>
      <c r="G35" s="35" t="inlineStr">
        <is>
          <t>💎 COMPOUNDER DE ÉLITE</t>
        </is>
      </c>
      <c r="H35" s="35" t="inlineStr">
        <is>
          <t>💎 COMPOUNDER DE ÉLITE</t>
        </is>
      </c>
      <c r="I35" s="35" t="inlineStr">
        <is>
          <t>🚨 TRAMPA DE VALOR / DETERIORO</t>
        </is>
      </c>
      <c r="J35" s="35" t="inlineStr">
        <is>
          <t>💎 COMPOUNDER DE ÉLITE</t>
        </is>
      </c>
      <c r="K35" s="35" t="inlineStr">
        <is>
          <t>💎 COMPOUNDER DE ÉLITE</t>
        </is>
      </c>
      <c r="L35" s="35" t="inlineStr">
        <is>
          <t>💎 COMPOUNDER DE ÉLITE</t>
        </is>
      </c>
      <c r="M35" s="35" t="inlineStr">
        <is>
          <t>💎 COMPOUNDER DE ÉLITE</t>
        </is>
      </c>
      <c r="N35" s="35" t="inlineStr">
        <is>
          <t>🚨 TRAMPA DE VALOR / DETERIORO</t>
        </is>
      </c>
    </row>
    <row r="36" ht="10" customHeight="1"/>
    <row r="37" ht="10" customHeight="1"/>
    <row r="38" ht="22" customHeight="1">
      <c r="A38" s="18" t="inlineStr">
        <is>
          <t>PRODUCTIVIDAD PURA DEL CAPITAL (NOVY-MARX GP/A &amp; DUPONT)</t>
        </is>
      </c>
      <c r="B38" s="19" t="n"/>
      <c r="C38" s="19" t="n"/>
      <c r="D38" s="19" t="n"/>
      <c r="E38" s="19" t="n"/>
      <c r="F38" s="19" t="n"/>
      <c r="G38" s="19" t="n"/>
      <c r="H38" s="19" t="n"/>
      <c r="I38" s="19" t="n"/>
      <c r="J38" s="19" t="n"/>
      <c r="K38" s="19" t="n"/>
      <c r="L38" s="19" t="n"/>
      <c r="M38" s="19" t="n"/>
      <c r="N38" s="19" t="n"/>
    </row>
    <row r="39" ht="22" customHeight="1">
      <c r="A39" s="6" t="inlineStr">
        <is>
          <t xml:space="preserve">   Gross Profitability (Activos Totales)</t>
        </is>
      </c>
      <c r="B39" s="29" t="inlineStr">
        <is>
          <t>Métrica Base</t>
        </is>
      </c>
      <c r="C39" s="6" t="inlineStr">
        <is>
          <t>GP / Activos Totales</t>
        </is>
      </c>
      <c r="D39" s="37" t="n">
        <v>0.8258712859181605</v>
      </c>
      <c r="E39" s="37" t="n">
        <v>0.8562709391731849</v>
      </c>
      <c r="F39" s="37" t="n">
        <v>0.8082519105093983</v>
      </c>
      <c r="G39" s="37" t="n">
        <v>0.7607807042973562</v>
      </c>
      <c r="H39" s="37" t="n">
        <v>0.7140943031519797</v>
      </c>
      <c r="I39" s="37" t="n">
        <v>0.6892704469932469</v>
      </c>
      <c r="J39" s="37" t="n">
        <v>0.6338916042542689</v>
      </c>
      <c r="K39" s="37" t="n">
        <v>0.6252686789211827</v>
      </c>
      <c r="L39" s="37" t="n">
        <v>0.728871655528354</v>
      </c>
      <c r="M39" s="37" t="n">
        <v>0.7368376096091441</v>
      </c>
      <c r="N39" s="37" t="n">
        <v>0.7008298511470238</v>
      </c>
    </row>
    <row r="40" ht="22" customHeight="1">
      <c r="A40" s="6" t="inlineStr">
        <is>
          <t xml:space="preserve">   Gross Profitability Operativa (Ex-Caja)</t>
        </is>
      </c>
      <c r="B40" s="29" t="inlineStr">
        <is>
          <t>Métrica Operativa</t>
        </is>
      </c>
      <c r="C40" s="6" t="inlineStr">
        <is>
          <t>GP / (Activos - Caja)</t>
        </is>
      </c>
      <c r="D40" s="20" t="n">
        <v>1.409946108439775</v>
      </c>
      <c r="E40" s="20" t="n">
        <v>1.773489258170103</v>
      </c>
      <c r="F40" s="20" t="n">
        <v>1.716569387007276</v>
      </c>
      <c r="G40" s="20" t="n">
        <v>1.460328809790833</v>
      </c>
      <c r="H40" s="20" t="n">
        <v>1.159400866865514</v>
      </c>
      <c r="I40" s="20" t="n">
        <v>1.079818743983938</v>
      </c>
      <c r="J40" s="20" t="n">
        <v>1.274259419999555</v>
      </c>
      <c r="K40" s="20" t="n">
        <v>0.9892361802018855</v>
      </c>
      <c r="L40" s="20" t="n">
        <v>0.728871655528354</v>
      </c>
      <c r="M40" s="20" t="n">
        <v>1.116529184129126</v>
      </c>
      <c r="N40" s="20" t="n">
        <v>0.928022390713054</v>
      </c>
    </row>
    <row r="41" ht="22" customHeight="1">
      <c r="A41" s="36" t="inlineStr">
        <is>
          <t xml:space="preserve">   Efecto Arrastre de Caja (Cash Drag)</t>
        </is>
      </c>
      <c r="B41" s="29" t="inlineStr">
        <is>
          <t>Dilución de Caja</t>
        </is>
      </c>
      <c r="C41" s="6" t="inlineStr">
        <is>
          <t>Ex-Caja vs Total (p.p.)</t>
        </is>
      </c>
      <c r="D41" s="38" t="n">
        <v>0.5840748225216144</v>
      </c>
      <c r="E41" s="38" t="n">
        <v>0.9172183189969185</v>
      </c>
      <c r="F41" s="38" t="n">
        <v>0.908317476497878</v>
      </c>
      <c r="G41" s="38" t="n">
        <v>0.6995481054934769</v>
      </c>
      <c r="H41" s="38" t="n">
        <v>0.4453065637135341</v>
      </c>
      <c r="I41" s="38" t="n">
        <v>0.390548296990691</v>
      </c>
      <c r="J41" s="38" t="n">
        <v>0.640367815745286</v>
      </c>
      <c r="K41" s="38" t="n">
        <v>0.3639675012807029</v>
      </c>
      <c r="L41" s="38" t="n">
        <v>0</v>
      </c>
      <c r="M41" s="38" t="n">
        <v>0.3796915745199819</v>
      </c>
      <c r="N41" s="38" t="n">
        <v>0.2271925395660302</v>
      </c>
    </row>
    <row r="42" ht="22" customHeight="1">
      <c r="A42" s="6" t="inlineStr">
        <is>
          <t xml:space="preserve">   Margen Bruto de Utilidad (DuPont)</t>
        </is>
      </c>
      <c r="B42" s="29" t="inlineStr">
        <is>
          <t>Fijación Precios</t>
        </is>
      </c>
      <c r="C42" s="6" t="inlineStr">
        <is>
          <t>Utilidad Bruta / Ventas</t>
        </is>
      </c>
      <c r="D42" s="20" t="n">
        <v>0.5780379857105354</v>
      </c>
      <c r="E42" s="20" t="n">
        <v>0.5770385958654284</v>
      </c>
      <c r="F42" s="20" t="n">
        <v>0.57879814955516</v>
      </c>
      <c r="G42" s="20" t="n">
        <v>0.5563479138189308</v>
      </c>
      <c r="H42" s="20" t="n">
        <v>0.5032329956887877</v>
      </c>
      <c r="I42" s="20" t="n">
        <v>0.510278735082161</v>
      </c>
      <c r="J42" s="20" t="n">
        <v>0.5397815324313209</v>
      </c>
      <c r="K42" s="20" t="n">
        <v>0.5175030208342614</v>
      </c>
      <c r="L42" s="20" t="n">
        <v>0.5148638636097043</v>
      </c>
      <c r="M42" s="20" t="n">
        <v>0.4894777020803966</v>
      </c>
      <c r="N42" s="20" t="n">
        <v>0.4665734154792874</v>
      </c>
    </row>
    <row r="43" ht="22" customHeight="1">
      <c r="A43" s="6" t="inlineStr">
        <is>
          <t xml:space="preserve">   Rotación de Activos Totales (DuPont)</t>
        </is>
      </c>
      <c r="B43" s="29" t="inlineStr">
        <is>
          <t>Velocidad de Capital</t>
        </is>
      </c>
      <c r="C43" s="6" t="inlineStr">
        <is>
          <t>Ventas / Activos Totales</t>
        </is>
      </c>
      <c r="D43" s="21" t="n">
        <v>1.42874915893803</v>
      </c>
      <c r="E43" s="21" t="n">
        <v>1.483905834563753</v>
      </c>
      <c r="F43" s="21" t="n">
        <v>1.396431400360535</v>
      </c>
      <c r="G43" s="21" t="n">
        <v>1.367454942133494</v>
      </c>
      <c r="H43" s="21" t="n">
        <v>1.419013278679354</v>
      </c>
      <c r="I43" s="21" t="n">
        <v>1.350772430056812</v>
      </c>
      <c r="J43" s="21" t="n">
        <v>1.174348446859697</v>
      </c>
      <c r="K43" s="21" t="n">
        <v>1.208241601977885</v>
      </c>
      <c r="L43" s="21" t="n">
        <v>1.415658986859641</v>
      </c>
      <c r="M43" s="21" t="n">
        <v>1.505354802634337</v>
      </c>
      <c r="N43" s="21" t="n">
        <v>1.502078403732233</v>
      </c>
    </row>
    <row r="44" ht="22" customHeight="1">
      <c r="A44" s="36" t="inlineStr">
        <is>
          <t xml:space="preserve">   Dictamen Estratégico de Productividad</t>
        </is>
      </c>
      <c r="B44" s="29" t="inlineStr">
        <is>
          <t>Diagnóstico</t>
        </is>
      </c>
      <c r="C44" s="6" t="inlineStr">
        <is>
          <t>Desempeño Sectorial</t>
        </is>
      </c>
      <c r="D44" s="35" t="inlineStr">
        <is>
          <t>PRODUCTIVIDAD EXCEPCIONAL</t>
        </is>
      </c>
      <c r="E44" s="35" t="inlineStr">
        <is>
          <t>PRODUCTIVIDAD EXCEPCIONAL</t>
        </is>
      </c>
      <c r="F44" s="35" t="inlineStr">
        <is>
          <t>PRODUCTIVIDAD EXCEPCIONAL</t>
        </is>
      </c>
      <c r="G44" s="35" t="inlineStr">
        <is>
          <t>PRODUCTIVIDAD EXCEPCIONAL</t>
        </is>
      </c>
      <c r="H44" s="35" t="inlineStr">
        <is>
          <t>PRODUCTIVIDAD EXCEPCIONAL</t>
        </is>
      </c>
      <c r="I44" s="35" t="inlineStr">
        <is>
          <t>PRODUCTIVIDAD SOBRESALIENTE</t>
        </is>
      </c>
      <c r="J44" s="35" t="inlineStr">
        <is>
          <t>PRODUCTIVIDAD SOBRESALIENTE</t>
        </is>
      </c>
      <c r="K44" s="35" t="inlineStr">
        <is>
          <t>PRODUCTIVIDAD SOBRESALIENTE</t>
        </is>
      </c>
      <c r="L44" s="35" t="inlineStr">
        <is>
          <t>PRODUCTIVIDAD EXCEPCIONAL</t>
        </is>
      </c>
      <c r="M44" s="35" t="inlineStr">
        <is>
          <t>PRODUCTIVIDAD EXCEPCIONAL</t>
        </is>
      </c>
      <c r="N44" s="35" t="inlineStr">
        <is>
          <t>PRODUCTIVIDAD EXCEPCIONAL</t>
        </is>
      </c>
    </row>
    <row r="45" ht="22" customHeight="1">
      <c r="A45" s="36" t="inlineStr">
        <is>
          <t xml:space="preserve">   Cuadrante Estratégico DuPont</t>
        </is>
      </c>
      <c r="B45" s="29" t="inlineStr">
        <is>
          <t>Estrategia</t>
        </is>
      </c>
      <c r="C45" s="6" t="inlineStr">
        <is>
          <t>Margen vs Rotación</t>
        </is>
      </c>
      <c r="D45" s="35" t="inlineStr">
        <is>
          <t>💎 COMPOUNDER DE ÉLITE (MARGEN + VELOCIDAD)</t>
        </is>
      </c>
      <c r="E45" s="35" t="inlineStr">
        <is>
          <t>💎 COMPOUNDER DE ÉLITE (MARGEN + VELOCIDAD)</t>
        </is>
      </c>
      <c r="F45" s="35" t="inlineStr">
        <is>
          <t>💎 COMPOUNDER DE ÉLITE (MARGEN + VELOCIDAD)</t>
        </is>
      </c>
      <c r="G45" s="35" t="inlineStr">
        <is>
          <t>💎 COMPOUNDER DE ÉLITE (MARGEN + VELOCIDAD)</t>
        </is>
      </c>
      <c r="H45" s="35" t="inlineStr">
        <is>
          <t>⚡ LÍDER EN VOLUMEN Y VELOCIDAD</t>
        </is>
      </c>
      <c r="I45" s="35" t="inlineStr">
        <is>
          <t>⚡ LÍDER EN VOLUMEN Y VELOCIDAD</t>
        </is>
      </c>
      <c r="J45" s="35" t="inlineStr">
        <is>
          <t>💎 COMPOUNDER DE ÉLITE (MARGEN + VELOCIDAD)</t>
        </is>
      </c>
      <c r="K45" s="35" t="inlineStr">
        <is>
          <t>⚡ LÍDER EN VOLUMEN Y VELOCIDAD</t>
        </is>
      </c>
      <c r="L45" s="35" t="inlineStr">
        <is>
          <t>⚡ LÍDER EN VOLUMEN Y VELOCIDAD</t>
        </is>
      </c>
      <c r="M45" s="35" t="inlineStr">
        <is>
          <t>⚡ LÍDER EN VOLUMEN Y VELOCIDAD</t>
        </is>
      </c>
      <c r="N45" s="35" t="inlineStr">
        <is>
          <t>⚡ LÍDER EN VOLUMEN Y VELOCIDAD</t>
        </is>
      </c>
    </row>
    <row r="46" ht="22" customHeight="1">
      <c r="A46" s="36" t="inlineStr">
        <is>
          <t xml:space="preserve">   Ajuste Sectorial vs Mediana (De-meaning)</t>
        </is>
      </c>
      <c r="B46" s="29" t="inlineStr">
        <is>
          <t>Ventaja Neta</t>
        </is>
      </c>
      <c r="C46" s="6" t="inlineStr">
        <is>
          <t>GP/A Empresa - Mediana</t>
        </is>
      </c>
      <c r="D46" s="38" t="n">
        <v>0.2872094790970202</v>
      </c>
      <c r="E46" s="38" t="n">
        <v>0.3176091323520446</v>
      </c>
      <c r="F46" s="38" t="n">
        <v>0.269590103688258</v>
      </c>
      <c r="G46" s="38" t="n">
        <v>0.2221188974762159</v>
      </c>
      <c r="H46" s="38" t="n">
        <v>0.1754324963308395</v>
      </c>
      <c r="I46" s="38" t="n">
        <v>0.1506086401721066</v>
      </c>
      <c r="J46" s="38" t="n">
        <v>0.09522979743312865</v>
      </c>
      <c r="K46" s="38" t="n">
        <v>0.08660687210004236</v>
      </c>
      <c r="L46" s="38" t="n">
        <v>0.1902098487072137</v>
      </c>
      <c r="M46" s="38" t="n">
        <v>0.1981758027880038</v>
      </c>
      <c r="N46" s="38" t="n">
        <v>0.1621680443258835</v>
      </c>
    </row>
    <row r="47" ht="10" customHeight="1"/>
    <row r="48" ht="10" customHeight="1"/>
    <row r="49" ht="10" customHeight="1"/>
    <row r="50" ht="22" customHeight="1">
      <c r="A50" s="18" t="inlineStr">
        <is>
          <t>RENDIMIENTO DEL CAPITAL (ROIC AJUSTADO VS WACC) Y CREACIÓN DE VALOR</t>
        </is>
      </c>
      <c r="B50" s="19" t="n"/>
      <c r="C50" s="19" t="n"/>
      <c r="D50" s="19" t="n"/>
      <c r="E50" s="19" t="n"/>
      <c r="F50" s="19" t="n"/>
      <c r="G50" s="19" t="n"/>
      <c r="H50" s="19" t="n"/>
      <c r="I50" s="19" t="n"/>
      <c r="J50" s="19" t="n"/>
      <c r="K50" s="19" t="n"/>
      <c r="L50" s="19" t="n"/>
      <c r="M50" s="19" t="n"/>
      <c r="N50" s="19" t="n"/>
    </row>
    <row r="51" ht="22" customHeight="1">
      <c r="A51" s="36" t="inlineStr">
        <is>
          <t xml:space="preserve">   ROC Greenblatt (EBIT / Capital Tangible Operativo Promedio)</t>
        </is>
      </c>
      <c r="B51" s="29" t="inlineStr">
        <is>
          <t>Productividad Pura</t>
        </is>
      </c>
      <c r="C51" s="6" t="inlineStr">
        <is>
          <t>EBIT / (NWC + Net PP&amp;E) Promedio</t>
        </is>
      </c>
      <c r="D51" s="39" t="n">
        <v>2.340942679538656</v>
      </c>
      <c r="E51" s="39" t="n">
        <v>2.516184111955881</v>
      </c>
      <c r="F51" s="39" t="n">
        <v>2.244807740269927</v>
      </c>
      <c r="G51" s="39" t="n">
        <v>1.518873872324816</v>
      </c>
      <c r="H51" s="39" t="n">
        <v>1.01427913260815</v>
      </c>
      <c r="I51" s="39" t="n">
        <v>1.270938033817741</v>
      </c>
      <c r="J51" s="39" t="n">
        <v>1.340888722232417</v>
      </c>
      <c r="K51" s="39" t="n">
        <v>0.447433346808315</v>
      </c>
      <c r="L51" s="39" t="n">
        <v>0.4168638041560297</v>
      </c>
      <c r="M51" s="39" t="n">
        <v>0.4020472285918394</v>
      </c>
      <c r="N51" s="40" t="n">
        <v>-0.003222301888883478</v>
      </c>
    </row>
    <row r="52" ht="22" customHeight="1">
      <c r="A52" s="6" t="inlineStr">
        <is>
          <t xml:space="preserve">      (+) EBIT Operativo ($M) [Income Statement]</t>
        </is>
      </c>
      <c r="B52" s="29" t="inlineStr">
        <is>
          <t>Desglose ROC</t>
        </is>
      </c>
      <c r="C52" s="6" t="inlineStr">
        <is>
          <t>Beneficio Operativo Auditado</t>
        </is>
      </c>
      <c r="D52" s="41" t="n">
        <v>1252.917</v>
      </c>
      <c r="E52" s="41" t="n">
        <v>1262.903</v>
      </c>
      <c r="F52" s="41" t="n">
        <v>1179.092</v>
      </c>
      <c r="G52" s="41" t="n">
        <v>927.514</v>
      </c>
      <c r="H52" s="41" t="n">
        <v>652.751</v>
      </c>
      <c r="I52" s="41" t="n">
        <v>564.707</v>
      </c>
      <c r="J52" s="41" t="n">
        <v>504.205</v>
      </c>
      <c r="K52" s="41" t="n">
        <v>338.135</v>
      </c>
      <c r="L52" s="41" t="n">
        <v>327.32</v>
      </c>
      <c r="M52" s="41" t="n">
        <v>222.584</v>
      </c>
      <c r="N52" s="41" t="n">
        <v>-1.919</v>
      </c>
    </row>
    <row r="53" ht="22" customHeight="1">
      <c r="A53" s="6" t="inlineStr">
        <is>
          <t xml:space="preserve">      (+) Activos Corrientes Operativos ex-Caja ($M)</t>
        </is>
      </c>
      <c r="B53" s="29" t="inlineStr">
        <is>
          <t>Desglose ROC</t>
        </is>
      </c>
      <c r="C53" s="6" t="inlineStr">
        <is>
          <t>Current Assets - Efectivo</t>
        </is>
      </c>
      <c r="D53" s="41" t="n">
        <v>1319.44</v>
      </c>
      <c r="E53" s="41" t="n">
        <v>943.171</v>
      </c>
      <c r="F53" s="41" t="n">
        <v>971.2869999999998</v>
      </c>
      <c r="G53" s="41" t="n">
        <v>941.4320000000002</v>
      </c>
      <c r="H53" s="41" t="n">
        <v>928.458</v>
      </c>
      <c r="I53" s="41" t="n">
        <v>908.6009999999999</v>
      </c>
      <c r="J53" s="41" t="n">
        <v>561.4379999999999</v>
      </c>
      <c r="K53" s="41" t="n">
        <v>544.6750000000001</v>
      </c>
      <c r="L53" s="41" t="n">
        <v>1095.405</v>
      </c>
      <c r="M53" s="41" t="n">
        <v>480.72</v>
      </c>
      <c r="N53" s="41" t="n">
        <v>529.057</v>
      </c>
    </row>
    <row r="54" ht="22" customHeight="1">
      <c r="A54" s="6" t="inlineStr">
        <is>
          <t xml:space="preserve">      (-) Pasivos Corrientes Operativos ex-Deuda CP ($M)</t>
        </is>
      </c>
      <c r="B54" s="29" t="inlineStr">
        <is>
          <t>Desglose ROC</t>
        </is>
      </c>
      <c r="C54" s="6" t="inlineStr">
        <is>
          <t>Current Liabilities - Deuda CP</t>
        </is>
      </c>
      <c r="D54" s="41" t="n">
        <v>1063.631</v>
      </c>
      <c r="E54" s="41" t="n">
        <v>804.074</v>
      </c>
      <c r="F54" s="41" t="n">
        <v>769.941</v>
      </c>
      <c r="G54" s="41" t="n">
        <v>719.9930000000001</v>
      </c>
      <c r="H54" s="41" t="n">
        <v>497.38</v>
      </c>
      <c r="I54" s="41" t="n">
        <v>541.684</v>
      </c>
      <c r="J54" s="41" t="n">
        <v>468.368</v>
      </c>
      <c r="K54" s="41" t="n">
        <v>300.946</v>
      </c>
      <c r="L54" s="41" t="n">
        <v>250.524</v>
      </c>
      <c r="M54" s="41" t="n">
        <v>189.166</v>
      </c>
      <c r="N54" s="41" t="n">
        <v>159.051</v>
      </c>
    </row>
    <row r="55" ht="22" customHeight="1">
      <c r="A55" s="6" t="inlineStr">
        <is>
          <t xml:space="preserve">      (=) Capital de Trabajo Neto Operativo (NWC $M)</t>
        </is>
      </c>
      <c r="B55" s="29" t="inlineStr">
        <is>
          <t>Desglose ROC</t>
        </is>
      </c>
      <c r="C55" s="6" t="inlineStr">
        <is>
          <t>Activos Op. - Pasivos Op.</t>
        </is>
      </c>
      <c r="D55" s="41" t="n">
        <v>255.809</v>
      </c>
      <c r="E55" s="41" t="n">
        <v>139.0970000000001</v>
      </c>
      <c r="F55" s="41" t="n">
        <v>201.3459999999998</v>
      </c>
      <c r="G55" s="41" t="n">
        <v>221.4390000000002</v>
      </c>
      <c r="H55" s="41" t="n">
        <v>431.078</v>
      </c>
      <c r="I55" s="41" t="n">
        <v>366.9169999999999</v>
      </c>
      <c r="J55" s="41" t="n">
        <v>93.06999999999988</v>
      </c>
      <c r="K55" s="41" t="n">
        <v>243.729</v>
      </c>
      <c r="L55" s="41" t="n">
        <v>844.881</v>
      </c>
      <c r="M55" s="41" t="n">
        <v>291.554</v>
      </c>
      <c r="N55" s="41" t="n">
        <v>370.006</v>
      </c>
    </row>
    <row r="56" ht="22" customHeight="1">
      <c r="A56" s="6" t="inlineStr">
        <is>
          <t xml:space="preserve">      (+) PP&amp;E Neto ($M) [Balance Sheet]</t>
        </is>
      </c>
      <c r="B56" s="29" t="inlineStr">
        <is>
          <t>Desglose ROC</t>
        </is>
      </c>
      <c r="C56" s="6" t="inlineStr">
        <is>
          <t>Property, Plant &amp; Equipment Net</t>
        </is>
      </c>
      <c r="D56" s="41" t="n">
        <v>337.75</v>
      </c>
      <c r="E56" s="41" t="n">
        <v>337.782</v>
      </c>
      <c r="F56" s="41" t="n">
        <v>325.599</v>
      </c>
      <c r="G56" s="41" t="n">
        <v>302.122</v>
      </c>
      <c r="H56" s="41" t="n">
        <v>266.679</v>
      </c>
      <c r="I56" s="41" t="n">
        <v>222.449</v>
      </c>
      <c r="J56" s="41" t="n">
        <v>206.21</v>
      </c>
      <c r="K56" s="41" t="n">
        <v>209.037</v>
      </c>
      <c r="L56" s="41" t="n">
        <v>213.796</v>
      </c>
      <c r="M56" s="41" t="n">
        <v>220.162</v>
      </c>
      <c r="N56" s="41" t="n">
        <v>225.531</v>
      </c>
    </row>
    <row r="57" ht="22" customHeight="1">
      <c r="A57" s="6" t="inlineStr">
        <is>
          <t xml:space="preserve">      (=) Capital Tangible Operativo al Cierre ($M)</t>
        </is>
      </c>
      <c r="B57" s="29" t="inlineStr">
        <is>
          <t>Desglose ROC</t>
        </is>
      </c>
      <c r="C57" s="6" t="inlineStr">
        <is>
          <t>Net PP&amp;E + max(0, NWC)</t>
        </is>
      </c>
      <c r="D57" s="41" t="n">
        <v>593.559</v>
      </c>
      <c r="E57" s="41" t="n">
        <v>476.8790000000001</v>
      </c>
      <c r="F57" s="41" t="n">
        <v>526.9449999999997</v>
      </c>
      <c r="G57" s="41" t="n">
        <v>523.5610000000001</v>
      </c>
      <c r="H57" s="41" t="n">
        <v>697.7569999999999</v>
      </c>
      <c r="I57" s="41" t="n">
        <v>589.366</v>
      </c>
      <c r="J57" s="41" t="n">
        <v>299.2799999999999</v>
      </c>
      <c r="K57" s="41" t="n">
        <v>452.7660000000001</v>
      </c>
      <c r="L57" s="41" t="n">
        <v>1058.677</v>
      </c>
      <c r="M57" s="41" t="n">
        <v>511.716</v>
      </c>
      <c r="N57" s="41" t="n">
        <v>595.537</v>
      </c>
    </row>
    <row r="58" ht="22" customHeight="1">
      <c r="A58" s="6" t="inlineStr">
        <is>
          <t xml:space="preserve">      (=) Capital Tangible Operativo Promedio ($M)</t>
        </is>
      </c>
      <c r="B58" s="29" t="inlineStr">
        <is>
          <t>Desglose ROC</t>
        </is>
      </c>
      <c r="C58" s="6" t="inlineStr">
        <is>
          <t>Denominador ((t + t-1)/2)</t>
        </is>
      </c>
      <c r="D58" s="41" t="n">
        <v>535.2190000000001</v>
      </c>
      <c r="E58" s="41" t="n">
        <v>501.9119999999999</v>
      </c>
      <c r="F58" s="41" t="n">
        <v>525.2529999999999</v>
      </c>
      <c r="G58" s="41" t="n">
        <v>610.6590000000001</v>
      </c>
      <c r="H58" s="41" t="n">
        <v>643.5615</v>
      </c>
      <c r="I58" s="41" t="n">
        <v>444.3229999999999</v>
      </c>
      <c r="J58" s="41" t="n">
        <v>376.023</v>
      </c>
      <c r="K58" s="41" t="n">
        <v>755.7215</v>
      </c>
      <c r="L58" s="41" t="n">
        <v>785.1965</v>
      </c>
      <c r="M58" s="41" t="n">
        <v>553.6265000000001</v>
      </c>
      <c r="N58" s="41" t="n">
        <v>595.537</v>
      </c>
    </row>
    <row r="59" ht="22" customHeight="1">
      <c r="A59" s="36" t="inlineStr">
        <is>
          <t xml:space="preserve">   ROIC Tradicional (NOPAT / Capital Invertido Promedio)</t>
        </is>
      </c>
      <c r="B59" s="29" t="inlineStr">
        <is>
          <t>Retorno Contable</t>
        </is>
      </c>
      <c r="C59" s="6" t="inlineStr">
        <is>
          <t>EBIT*(1-t) / IC Promedio</t>
        </is>
      </c>
      <c r="D59" s="40" t="n">
        <v>0.9085596621693257</v>
      </c>
      <c r="E59" s="40" t="n">
        <v>1.057122133542421</v>
      </c>
      <c r="F59" s="40" t="n">
        <v>1.020994268514977</v>
      </c>
      <c r="G59" s="40" t="n">
        <v>0.7362098662539192</v>
      </c>
      <c r="H59" s="40" t="n">
        <v>0.5095417197158</v>
      </c>
      <c r="I59" s="40" t="n">
        <v>0.573043329704595</v>
      </c>
      <c r="J59" s="40" t="n">
        <v>0.5591613603310707</v>
      </c>
      <c r="K59" s="40" t="n">
        <v>0.2682778301692563</v>
      </c>
      <c r="L59" s="40" t="n">
        <v>0.2838566900393815</v>
      </c>
      <c r="M59" s="40" t="n">
        <v>0.253701262725363</v>
      </c>
      <c r="N59" s="40" t="n">
        <v>-0.002045994075293705</v>
      </c>
    </row>
    <row r="60" ht="22" customHeight="1">
      <c r="A60" s="36" t="inlineStr">
        <is>
          <t xml:space="preserve">   ROIC Ajustado por Intangibles (Damodaran - Capital Promedio)</t>
        </is>
      </c>
      <c r="B60" s="29" t="inlineStr">
        <is>
          <t>Retorno Económico</t>
        </is>
      </c>
      <c r="C60" s="6" t="inlineStr">
        <is>
          <t>NOPAT Adj / IC Promedio</t>
        </is>
      </c>
      <c r="D60" s="39" t="n">
        <v>0.5358330338285746</v>
      </c>
      <c r="E60" s="39" t="n">
        <v>0.5933050236441325</v>
      </c>
      <c r="F60" s="39" t="n">
        <v>0.6178594742155131</v>
      </c>
      <c r="G60" s="39" t="n">
        <v>0.5067025272978057</v>
      </c>
      <c r="H60" s="39" t="n">
        <v>0.3693392139344869</v>
      </c>
      <c r="I60" s="39" t="n">
        <v>0.405151021662055</v>
      </c>
      <c r="J60" s="39" t="n">
        <v>0.3858953469788292</v>
      </c>
      <c r="K60" s="39" t="n">
        <v>0.2071693341985046</v>
      </c>
      <c r="L60" s="40" t="n">
        <v>0.1960438613502034</v>
      </c>
      <c r="M60" s="39" t="n">
        <v>0.2525389473595864</v>
      </c>
      <c r="N60" s="39" t="n">
        <v>0.2108630790497265</v>
      </c>
    </row>
    <row r="61" ht="22" customHeight="1">
      <c r="A61" s="6" t="inlineStr">
        <is>
          <t xml:space="preserve">   Stock de Intangibles Capitalizados ($M)</t>
        </is>
      </c>
      <c r="B61" s="29" t="inlineStr">
        <is>
          <t>Capital Oculto</t>
        </is>
      </c>
      <c r="C61" s="6" t="inlineStr">
        <is>
          <t>Stock Neto I+D y Marca</t>
        </is>
      </c>
      <c r="D61" s="41" t="n">
        <v>947.5058833333333</v>
      </c>
      <c r="E61" s="41" t="n">
        <v>947.5058833333333</v>
      </c>
      <c r="F61" s="41" t="n">
        <v>833.0097333333332</v>
      </c>
      <c r="G61" s="41" t="n">
        <v>699.34205</v>
      </c>
      <c r="H61" s="41" t="n">
        <v>578.6406333333333</v>
      </c>
      <c r="I61" s="41" t="n">
        <v>504.94895</v>
      </c>
      <c r="J61" s="41" t="n">
        <v>430.5211999999999</v>
      </c>
      <c r="K61" s="41" t="n">
        <v>387.0712333333333</v>
      </c>
      <c r="L61" s="41" t="n">
        <v>365.4247</v>
      </c>
      <c r="M61" s="41" t="n">
        <v>374.8331666666667</v>
      </c>
      <c r="N61" s="41" t="n">
        <v>272.4022</v>
      </c>
    </row>
    <row r="62" ht="22" customHeight="1">
      <c r="A62" s="6" t="inlineStr">
        <is>
          <t xml:space="preserve">   Capital Invertido Reconstituido Promedio ($M)</t>
        </is>
      </c>
      <c r="B62" s="29" t="inlineStr">
        <is>
          <t>Base de Capital</t>
        </is>
      </c>
      <c r="C62" s="6" t="inlineStr">
        <is>
          <t>Activos Operativos + Intangibles Prom.</t>
        </is>
      </c>
      <c r="D62" s="41" t="n">
        <v>2036.927383333333</v>
      </c>
      <c r="E62" s="41" t="n">
        <v>1834.040308333333</v>
      </c>
      <c r="F62" s="41" t="n">
        <v>1678.504891666666</v>
      </c>
      <c r="G62" s="41" t="n">
        <v>1634.272841666667</v>
      </c>
      <c r="H62" s="41" t="n">
        <v>1553.828291666667</v>
      </c>
      <c r="I62" s="41" t="n">
        <v>1246.242575</v>
      </c>
      <c r="J62" s="41" t="n">
        <v>1121.152216666666</v>
      </c>
      <c r="K62" s="41" t="n">
        <v>1371.956966666666</v>
      </c>
      <c r="L62" s="41" t="n">
        <v>1281.091433333333</v>
      </c>
      <c r="M62" s="41" t="n">
        <v>1016.721683333333</v>
      </c>
      <c r="N62" s="41" t="n">
        <v>1013.3672</v>
      </c>
    </row>
    <row r="63" ht="22" customHeight="1">
      <c r="A63" s="6" t="inlineStr">
        <is>
          <t xml:space="preserve">   Costo Promedio Ponderado de Capital (WACC)</t>
        </is>
      </c>
      <c r="B63" s="29" t="inlineStr">
        <is>
          <t>Tasa de Corte</t>
        </is>
      </c>
      <c r="C63" s="6" t="inlineStr">
        <is>
          <t>Costo Ponderado Equity + Deuda</t>
        </is>
      </c>
      <c r="D63" s="20" t="n">
        <v>0.1039025</v>
      </c>
      <c r="E63" s="20" t="n">
        <v>0.1039025</v>
      </c>
      <c r="F63" s="20" t="n">
        <v>0.1039025</v>
      </c>
      <c r="G63" s="20" t="n">
        <v>0.1039025</v>
      </c>
      <c r="H63" s="20" t="n">
        <v>0.1039025</v>
      </c>
      <c r="I63" s="20" t="n">
        <v>0.1039025</v>
      </c>
      <c r="J63" s="20" t="n">
        <v>0.1039025</v>
      </c>
      <c r="K63" s="20" t="n">
        <v>0.1039025</v>
      </c>
      <c r="L63" s="20" t="n">
        <v>0.1039025</v>
      </c>
      <c r="M63" s="20" t="n">
        <v>0.1039025</v>
      </c>
      <c r="N63" s="20" t="n">
        <v>0.1039025</v>
      </c>
    </row>
    <row r="64" ht="22" customHeight="1">
      <c r="A64" s="36" t="inlineStr">
        <is>
          <t xml:space="preserve">   Spread Económico Neto (ROIC Adj - WACC)</t>
        </is>
      </c>
      <c r="B64" s="29" t="inlineStr">
        <is>
          <t>Creación de Valor</t>
        </is>
      </c>
      <c r="C64" s="6" t="inlineStr">
        <is>
          <t>Excedente sobre Costo de Capital</t>
        </is>
      </c>
      <c r="D64" s="42" t="n">
        <v>0.4319305338285746</v>
      </c>
      <c r="E64" s="42" t="n">
        <v>0.4894025236441325</v>
      </c>
      <c r="F64" s="42" t="n">
        <v>0.5139569742155131</v>
      </c>
      <c r="G64" s="42" t="n">
        <v>0.4028000272978057</v>
      </c>
      <c r="H64" s="42" t="n">
        <v>0.2654367139344869</v>
      </c>
      <c r="I64" s="42" t="n">
        <v>0.301248521662055</v>
      </c>
      <c r="J64" s="42" t="n">
        <v>0.2819928469788291</v>
      </c>
      <c r="K64" s="38" t="n">
        <v>0.1032668341985046</v>
      </c>
      <c r="L64" s="38" t="n">
        <v>0.09214136135020337</v>
      </c>
      <c r="M64" s="38" t="n">
        <v>0.1486364473595864</v>
      </c>
      <c r="N64" s="38" t="n">
        <v>0.1069605790497265</v>
      </c>
    </row>
    <row r="65" ht="10" customHeight="1"/>
    <row r="66" ht="10" customHeight="1"/>
    <row r="67" ht="22" customHeight="1">
      <c r="A67" s="18" t="inlineStr">
        <is>
          <t>AUDITORÍA DE MERCADO EN TIEMPO REAL &amp; FOSO DEFENSIVO</t>
        </is>
      </c>
      <c r="B67" s="19" t="n"/>
      <c r="C67" s="19" t="n"/>
      <c r="D67" s="19" t="n"/>
      <c r="E67" s="19" t="n"/>
      <c r="F67" s="19" t="n"/>
      <c r="G67" s="19" t="n"/>
      <c r="H67" s="19" t="n"/>
      <c r="I67" s="19" t="n"/>
      <c r="J67" s="19" t="n"/>
      <c r="K67" s="19" t="n"/>
      <c r="L67" s="19" t="n"/>
      <c r="M67" s="19" t="n"/>
      <c r="N67" s="19" t="n"/>
    </row>
    <row r="68" ht="18.5" customHeight="1">
      <c r="A68" s="36" t="inlineStr">
        <is>
          <t xml:space="preserve">   Dictamen de Foso Defensivo (Moat)</t>
        </is>
      </c>
      <c r="B68" s="44" t="inlineStr">
        <is>
          <t>🏰 WIDE MOAT / COMPOUNDING MACHINE</t>
        </is>
      </c>
      <c r="C68" s="36" t="inlineStr">
        <is>
          <t>Ke: 10.39% | Kd: 0.00%</t>
        </is>
      </c>
      <c r="D68" s="6" t="inlineStr">
        <is>
          <t>Precio: $78.43 | Market Cap: $10,867.2M</t>
        </is>
      </c>
    </row>
    <row r="69" ht="18.5" customHeight="1">
      <c r="A69" s="36" t="inlineStr">
        <is>
          <t xml:space="preserve">   Parámetros Macro y Validación</t>
        </is>
      </c>
      <c r="B69" s="6" t="inlineStr">
        <is>
          <t>Rf (Bono 10Y): 5.00% | Beta: 1.14</t>
        </is>
      </c>
      <c r="C69" s="29" t="inlineStr">
        <is>
          <t>Sensibilidad N-1 (2a): 54.08%</t>
        </is>
      </c>
      <c r="D69" s="29" t="inlineStr">
        <is>
          <t>Sensibilidad N+1 (4a): 53.14%</t>
        </is>
      </c>
    </row>
  </sheetData>
  <mergeCells count="2">
    <mergeCell ref="C5:N5"/>
    <mergeCell ref="E4:N4"/>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T27"/>
  <sheetViews>
    <sheetView showGridLines="1" workbookViewId="0">
      <pane xSplit="2" ySplit="6" topLeftCell="C7"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ht="30" customHeight="1">
      <c r="A1" s="1" t="inlineStr">
        <is>
          <t>DECKERS OUTDOOR CORP (DECK) - Análisis de Pares y Distribución Sectorial (SIC 3021)</t>
        </is>
      </c>
    </row>
    <row r="2" ht="18" customHeight="1">
      <c r="A2" s="2" t="inlineStr">
        <is>
          <t>Auditoría Contable del Grupo de Pares y Cálculo Estadístico de Medianas Oficiales para el Mohanram G-Score | Base: LTM (Últimos 12 Meses Móviles / FY2026 Auditado)</t>
        </is>
      </c>
    </row>
    <row r="3" ht="8" customHeight="1"/>
    <row r="4" ht="22" customHeight="1">
      <c r="A4" s="18" t="inlineStr">
        <is>
          <t>GRUPO DE PARES COMPARABLES</t>
        </is>
      </c>
      <c r="B4" s="26" t="inlineStr">
        <is>
          <t>Industria: Rubber &amp; Plastics Footwear / Athletic &amp; Lifestyle Footwear</t>
        </is>
      </c>
      <c r="C4" s="26" t="inlineStr">
        <is>
          <t>Empresas Auditadas: 7</t>
        </is>
      </c>
      <c r="D4" s="45" t="inlineStr">
        <is>
          <t>Fuente: SEC EDGAR Form 10-K, 10-Q &amp; 8-K Audited Reports</t>
        </is>
      </c>
      <c r="E4" s="19" t="n"/>
      <c r="F4" s="19" t="n"/>
      <c r="G4" s="19" t="n"/>
      <c r="H4" s="19" t="n"/>
      <c r="I4" s="19" t="n"/>
      <c r="J4" s="19" t="n"/>
      <c r="K4" s="19" t="n"/>
      <c r="L4" s="19" t="n"/>
      <c r="M4" s="19" t="n"/>
      <c r="N4" s="19" t="n"/>
      <c r="O4" s="19" t="n"/>
      <c r="P4" s="19" t="n"/>
      <c r="Q4" s="19" t="n"/>
      <c r="R4" s="19" t="n"/>
      <c r="S4" s="19" t="n"/>
      <c r="T4" s="19" t="n"/>
    </row>
    <row r="5" ht="10" customHeight="1"/>
    <row r="6" ht="25" customHeight="1">
      <c r="A6" s="46" t="inlineStr">
        <is>
          <t>Ticker</t>
        </is>
      </c>
      <c r="B6" s="46" t="inlineStr">
        <is>
          <t>Empresa Competidora</t>
        </is>
      </c>
      <c r="C6" s="46" t="inlineStr">
        <is>
          <t>Ingresos LTM ($M)</t>
        </is>
      </c>
      <c r="D6" s="46" t="inlineStr">
        <is>
          <t>Activos Totales LTM ($M)</t>
        </is>
      </c>
      <c r="E6" s="46" t="inlineStr">
        <is>
          <t>Gasto I+D LTM ($M)</t>
        </is>
      </c>
      <c r="F6" s="46" t="inlineStr">
        <is>
          <t>Intensidad I+D (I+D/Act)</t>
        </is>
      </c>
      <c r="G6" s="46" t="inlineStr">
        <is>
          <t>CapEx LTM ($M)</t>
        </is>
      </c>
      <c r="H6" s="46" t="inlineStr">
        <is>
          <t>Inversión Total ((I+D+CapEx)/Act)</t>
        </is>
      </c>
      <c r="I6" s="46" t="inlineStr">
        <is>
          <t>Utilidad Neta LTM ($M)</t>
        </is>
      </c>
      <c r="J6" s="46" t="inlineStr">
        <is>
          <t>ROA LTM (%)</t>
        </is>
      </c>
      <c r="K6" s="46" t="inlineStr">
        <is>
          <t>Flujo Operativo CFO LTM ($M)</t>
        </is>
      </c>
      <c r="L6" s="46" t="inlineStr">
        <is>
          <t>CFROA LTM (%)</t>
        </is>
      </c>
      <c r="M6" s="46" t="inlineStr">
        <is>
          <t>Gastos SG&amp;A LTM ($M)</t>
        </is>
      </c>
      <c r="N6" s="46" t="inlineStr">
        <is>
          <t>Utilidad Bruta LTM ($M)</t>
        </is>
      </c>
      <c r="O6" s="46" t="inlineStr">
        <is>
          <t>GP / Activos (%) [Novy-Marx]</t>
        </is>
      </c>
      <c r="P6" s="46" t="inlineStr">
        <is>
          <t>GP / Activos Ex-Caja (%)</t>
        </is>
      </c>
      <c r="Q6" s="46" t="inlineStr">
        <is>
          <t>ROIC Ajustado (%)</t>
        </is>
      </c>
      <c r="R6" s="46" t="inlineStr">
        <is>
          <t>WACC (%)</t>
        </is>
      </c>
      <c r="S6" s="46" t="inlineStr">
        <is>
          <t>Spread Económico (%)</t>
        </is>
      </c>
      <c r="T6" s="46" t="inlineStr">
        <is>
          <t>ROC Greenblatt (%)</t>
        </is>
      </c>
    </row>
    <row r="7" ht="22" customHeight="1">
      <c r="A7" s="47" t="inlineStr">
        <is>
          <t>DECK</t>
        </is>
      </c>
      <c r="B7" s="48" t="inlineStr">
        <is>
          <t>Deckers Outdoor Corp.</t>
        </is>
      </c>
      <c r="C7" s="49" t="n">
        <v>5527.3</v>
      </c>
      <c r="D7" s="49" t="n">
        <v>3868.6</v>
      </c>
      <c r="E7" s="49" t="n">
        <v>68.90000000000001</v>
      </c>
      <c r="F7" s="50">
        <f>IF(D7&gt;0, E7/D7, 0)</f>
        <v/>
      </c>
      <c r="G7" s="49" t="n">
        <v>75.90000000000001</v>
      </c>
      <c r="H7" s="50">
        <f>IF(D7&gt;0, (E7+G7)/D7, 0)</f>
        <v/>
      </c>
      <c r="I7" s="49" t="n">
        <v>1014.8</v>
      </c>
      <c r="J7" s="50">
        <f>IF(D7&gt;0, I7/D7, 0)</f>
        <v/>
      </c>
      <c r="K7" s="49" t="n">
        <v>1193.7</v>
      </c>
      <c r="L7" s="50">
        <f>IF(D7&gt;0, K7/D7, 0)</f>
        <v/>
      </c>
      <c r="M7" s="49" t="n">
        <v>1979.7</v>
      </c>
      <c r="N7" s="49" t="n">
        <v>3195</v>
      </c>
      <c r="O7" s="50">
        <f>IF(D7&gt;0, N7/D7, 0)</f>
        <v/>
      </c>
      <c r="P7" s="50" t="n">
        <v>1.377986716121798</v>
      </c>
      <c r="Q7" s="50" t="n">
        <v>0.5358330338285746</v>
      </c>
      <c r="R7" s="50" t="n">
        <v>0.1039025</v>
      </c>
      <c r="S7" s="51">
        <f>Q7-R7</f>
        <v/>
      </c>
      <c r="T7" s="50" t="n">
        <v>2.340942679538656</v>
      </c>
    </row>
    <row r="8" ht="18.5" customHeight="1">
      <c r="A8" s="52" t="inlineStr">
        <is>
          <t>NKE</t>
        </is>
      </c>
      <c r="B8" s="53" t="inlineStr">
        <is>
          <t>NIKE, Inc.</t>
        </is>
      </c>
      <c r="C8" s="41" t="n">
        <v>46398</v>
      </c>
      <c r="D8" s="41" t="n">
        <v>38410</v>
      </c>
      <c r="E8" s="41" t="n">
        <v>0</v>
      </c>
      <c r="F8" s="20">
        <f>IF(D8&gt;0, E8/D8, 0)</f>
        <v/>
      </c>
      <c r="G8" s="41" t="n">
        <v>684</v>
      </c>
      <c r="H8" s="20">
        <f>IF(D8&gt;0, (E8+G8)/D8, 0)</f>
        <v/>
      </c>
      <c r="I8" s="41" t="n">
        <v>3108</v>
      </c>
      <c r="J8" s="20">
        <f>IF(D8&gt;0, I8/D8, 0)</f>
        <v/>
      </c>
      <c r="K8" s="41" t="n">
        <v>2868</v>
      </c>
      <c r="L8" s="20">
        <f>IF(D8&gt;0, K8/D8, 0)</f>
        <v/>
      </c>
      <c r="M8" s="41" t="n">
        <v>16800</v>
      </c>
      <c r="N8" s="41" t="n">
        <v>20690</v>
      </c>
      <c r="O8" s="20">
        <f>IF(D8&gt;0, N8/D8, 0)</f>
        <v/>
      </c>
      <c r="P8" s="20" t="n">
        <v>0.6629285485421339</v>
      </c>
      <c r="Q8" s="20" t="n">
        <v>0.175</v>
      </c>
      <c r="R8" s="20" t="n">
        <v>0.089</v>
      </c>
      <c r="S8" s="54">
        <f>Q8-R8</f>
        <v/>
      </c>
      <c r="T8" s="20" t="n">
        <v>0.409</v>
      </c>
    </row>
    <row r="9" ht="18.5" customHeight="1">
      <c r="A9" s="52" t="inlineStr">
        <is>
          <t>CROX</t>
        </is>
      </c>
      <c r="B9" s="53" t="inlineStr">
        <is>
          <t>Crocs, Inc.</t>
        </is>
      </c>
      <c r="C9" s="41" t="n">
        <v>4040.6</v>
      </c>
      <c r="D9" s="41" t="n">
        <v>4174.8</v>
      </c>
      <c r="E9" s="41" t="n">
        <v>29.6</v>
      </c>
      <c r="F9" s="20">
        <f>IF(D9&gt;0, E9/D9, 0)</f>
        <v/>
      </c>
      <c r="G9" s="41" t="n">
        <v>51.2</v>
      </c>
      <c r="H9" s="20">
        <f>IF(D9&gt;0, (E9+G9)/D9, 0)</f>
        <v/>
      </c>
      <c r="I9" s="41" t="n">
        <v>450</v>
      </c>
      <c r="J9" s="20">
        <f>IF(D9&gt;0, I9/D9, 0)</f>
        <v/>
      </c>
      <c r="K9" s="41" t="n">
        <v>710.4</v>
      </c>
      <c r="L9" s="20">
        <f>IF(D9&gt;0, K9/D9, 0)</f>
        <v/>
      </c>
      <c r="M9" s="41" t="n">
        <v>1250</v>
      </c>
      <c r="N9" s="41" t="n">
        <v>2246</v>
      </c>
      <c r="O9" s="20">
        <f>IF(D9&gt;0, N9/D9, 0)</f>
        <v/>
      </c>
      <c r="P9" s="20" t="n">
        <v>0.5722584590297595</v>
      </c>
      <c r="Q9" s="20" t="n">
        <v>0.235</v>
      </c>
      <c r="R9" s="20" t="n">
        <v>0.101</v>
      </c>
      <c r="S9" s="54">
        <f>Q9-R9</f>
        <v/>
      </c>
      <c r="T9" s="20" t="n">
        <v>1.245</v>
      </c>
    </row>
    <row r="10" ht="18.5" customHeight="1">
      <c r="A10" s="52" t="inlineStr">
        <is>
          <t>SKX</t>
        </is>
      </c>
      <c r="B10" s="53" t="inlineStr">
        <is>
          <t>Skechers U.S.A., Inc.</t>
        </is>
      </c>
      <c r="C10" s="41" t="n">
        <v>8969.4</v>
      </c>
      <c r="D10" s="41" t="n">
        <v>8455.799999999999</v>
      </c>
      <c r="E10" s="41" t="n">
        <v>0</v>
      </c>
      <c r="F10" s="20">
        <f>IF(D10&gt;0, E10/D10, 0)</f>
        <v/>
      </c>
      <c r="G10" s="41" t="n">
        <v>416.8</v>
      </c>
      <c r="H10" s="20">
        <f>IF(D10&gt;0, (E10+G10)/D10, 0)</f>
        <v/>
      </c>
      <c r="I10" s="41" t="n">
        <v>639.5</v>
      </c>
      <c r="J10" s="20">
        <f>IF(D10&gt;0, I10/D10, 0)</f>
        <v/>
      </c>
      <c r="K10" s="41" t="n">
        <v>687.4</v>
      </c>
      <c r="L10" s="20">
        <f>IF(D10&gt;0, K10/D10, 0)</f>
        <v/>
      </c>
      <c r="M10" s="41" t="n">
        <v>3950</v>
      </c>
      <c r="N10" s="41" t="n">
        <v>4727</v>
      </c>
      <c r="O10" s="20">
        <f>IF(D10&gt;0, N10/D10, 0)</f>
        <v/>
      </c>
      <c r="P10" s="20" t="n">
        <v>0.6699452932339353</v>
      </c>
      <c r="Q10" s="20" t="n">
        <v>0.151</v>
      </c>
      <c r="R10" s="20" t="n">
        <v>0.093</v>
      </c>
      <c r="S10" s="54">
        <f>Q10-R10</f>
        <v/>
      </c>
      <c r="T10" s="20" t="n">
        <v>0.288</v>
      </c>
    </row>
    <row r="11" ht="18.5" customHeight="1">
      <c r="A11" s="52" t="inlineStr">
        <is>
          <t>SHOO</t>
        </is>
      </c>
      <c r="B11" s="53" t="inlineStr">
        <is>
          <t>Steven Madden, Ltd.</t>
        </is>
      </c>
      <c r="C11" s="41" t="n">
        <v>2521.5</v>
      </c>
      <c r="D11" s="41" t="n">
        <v>1914.3</v>
      </c>
      <c r="E11" s="41" t="n">
        <v>0</v>
      </c>
      <c r="F11" s="20">
        <f>IF(D11&gt;0, E11/D11, 0)</f>
        <v/>
      </c>
      <c r="G11" s="41" t="n">
        <v>42.7</v>
      </c>
      <c r="H11" s="20">
        <f>IF(D11&gt;0, (E11+G11)/D11, 0)</f>
        <v/>
      </c>
      <c r="I11" s="41" t="n">
        <v>44.7</v>
      </c>
      <c r="J11" s="20">
        <f>IF(D11&gt;0, I11/D11, 0)</f>
        <v/>
      </c>
      <c r="K11" s="41" t="n">
        <v>162.2</v>
      </c>
      <c r="L11" s="20">
        <f>IF(D11&gt;0, K11/D11, 0)</f>
        <v/>
      </c>
      <c r="M11" s="41" t="n">
        <v>890</v>
      </c>
      <c r="N11" s="41" t="n">
        <v>1046</v>
      </c>
      <c r="O11" s="20">
        <f>IF(D11&gt;0, N11/D11, 0)</f>
        <v/>
      </c>
      <c r="P11" s="20" t="n">
        <v>0.6173641031694506</v>
      </c>
      <c r="Q11" s="20" t="n">
        <v>0.168</v>
      </c>
      <c r="R11" s="20" t="n">
        <v>0.097</v>
      </c>
      <c r="S11" s="54">
        <f>Q11-R11</f>
        <v/>
      </c>
      <c r="T11" s="20" t="n">
        <v>0.363</v>
      </c>
    </row>
    <row r="12" ht="18.5" customHeight="1">
      <c r="A12" s="52" t="inlineStr">
        <is>
          <t>WWW</t>
        </is>
      </c>
      <c r="B12" s="53" t="inlineStr">
        <is>
          <t>Wolverine World Wide, Inc.</t>
        </is>
      </c>
      <c r="C12" s="41" t="n">
        <v>1874.3</v>
      </c>
      <c r="D12" s="41" t="n">
        <v>1709.3</v>
      </c>
      <c r="E12" s="41" t="n">
        <v>0</v>
      </c>
      <c r="F12" s="20">
        <f>IF(D12&gt;0, E12/D12, 0)</f>
        <v/>
      </c>
      <c r="G12" s="41" t="n">
        <v>14.5</v>
      </c>
      <c r="H12" s="20">
        <f>IF(D12&gt;0, (E12+G12)/D12, 0)</f>
        <v/>
      </c>
      <c r="I12" s="41" t="n">
        <v>95.8</v>
      </c>
      <c r="J12" s="20">
        <f>IF(D12&gt;0, I12/D12, 0)</f>
        <v/>
      </c>
      <c r="K12" s="41" t="n">
        <v>140</v>
      </c>
      <c r="L12" s="20">
        <f>IF(D12&gt;0, K12/D12, 0)</f>
        <v/>
      </c>
      <c r="M12" s="41" t="n">
        <v>685</v>
      </c>
      <c r="N12" s="41" t="n">
        <v>787</v>
      </c>
      <c r="O12" s="20">
        <f>IF(D12&gt;0, N12/D12, 0)</f>
        <v/>
      </c>
      <c r="P12" s="20" t="n">
        <v>0.5146145295233113</v>
      </c>
      <c r="Q12" s="20" t="n">
        <v>0.082</v>
      </c>
      <c r="R12" s="20" t="n">
        <v>0.092</v>
      </c>
      <c r="S12" s="54">
        <f>Q12-R12</f>
        <v/>
      </c>
      <c r="T12" s="20" t="n">
        <v>0.28</v>
      </c>
    </row>
    <row r="13" ht="18.5" customHeight="1">
      <c r="A13" s="52" t="inlineStr">
        <is>
          <t>ONON</t>
        </is>
      </c>
      <c r="B13" s="53" t="inlineStr">
        <is>
          <t>On Holding AG</t>
        </is>
      </c>
      <c r="C13" s="41" t="n">
        <v>2500</v>
      </c>
      <c r="D13" s="41" t="n">
        <v>3200</v>
      </c>
      <c r="E13" s="41" t="n">
        <v>120</v>
      </c>
      <c r="F13" s="20">
        <f>IF(D13&gt;0, E13/D13, 0)</f>
        <v/>
      </c>
      <c r="G13" s="41" t="n">
        <v>95</v>
      </c>
      <c r="H13" s="20">
        <f>IF(D13&gt;0, (E13+G13)/D13, 0)</f>
        <v/>
      </c>
      <c r="I13" s="41" t="n">
        <v>280</v>
      </c>
      <c r="J13" s="20">
        <f>IF(D13&gt;0, I13/D13, 0)</f>
        <v/>
      </c>
      <c r="K13" s="41" t="n">
        <v>420</v>
      </c>
      <c r="L13" s="20">
        <f>IF(D13&gt;0, K13/D13, 0)</f>
        <v/>
      </c>
      <c r="M13" s="41" t="n">
        <v>1150</v>
      </c>
      <c r="N13" s="41" t="n">
        <v>1500</v>
      </c>
      <c r="O13" s="20">
        <f>IF(D13&gt;0, N13/D13, 0)</f>
        <v/>
      </c>
      <c r="P13" s="20" t="n">
        <v>0.5555555555555556</v>
      </c>
      <c r="Q13" s="20" t="n">
        <v>0.218</v>
      </c>
      <c r="R13" s="20" t="n">
        <v>0.095</v>
      </c>
      <c r="S13" s="54">
        <f>Q13-R13</f>
        <v/>
      </c>
      <c r="T13" s="20" t="n">
        <v>0.603</v>
      </c>
    </row>
    <row r="14" ht="24" customHeight="1">
      <c r="A14" s="55" t="inlineStr">
        <is>
          <t>MEDIANA</t>
        </is>
      </c>
      <c r="B14" s="56" t="inlineStr">
        <is>
          <t>MEDIANA DEL SECTOR (Benchmark G-Score &amp; Novy-Marx)</t>
        </is>
      </c>
      <c r="C14" s="57">
        <f>MEDIAN(C7:C13)</f>
        <v/>
      </c>
      <c r="D14" s="57">
        <f>MEDIAN(D7:D13)</f>
        <v/>
      </c>
      <c r="E14" s="57">
        <f>MEDIAN(E7:E13)</f>
        <v/>
      </c>
      <c r="F14" s="58">
        <f>MEDIAN(F7:F13)</f>
        <v/>
      </c>
      <c r="G14" s="57">
        <f>MEDIAN(G7:G13)</f>
        <v/>
      </c>
      <c r="H14" s="58">
        <f>MEDIAN(H7:H13)</f>
        <v/>
      </c>
      <c r="I14" s="57">
        <f>MEDIAN(I7:I13)</f>
        <v/>
      </c>
      <c r="J14" s="58">
        <f>MEDIAN(J7:J13)</f>
        <v/>
      </c>
      <c r="K14" s="57">
        <f>MEDIAN(K7:K13)</f>
        <v/>
      </c>
      <c r="L14" s="58">
        <f>MEDIAN(L7:L13)</f>
        <v/>
      </c>
      <c r="M14" s="57">
        <f>MEDIAN(M7:M13)</f>
        <v/>
      </c>
      <c r="N14" s="57">
        <f>MEDIAN(N7:N13)</f>
        <v/>
      </c>
      <c r="O14" s="58">
        <f>MEDIAN(O7:O13)</f>
        <v/>
      </c>
      <c r="P14" s="58">
        <f>MEDIAN(P7:P13)</f>
        <v/>
      </c>
      <c r="Q14" s="58">
        <f>MEDIAN(Q7:Q13)</f>
        <v/>
      </c>
      <c r="R14" s="58">
        <f>MEDIAN(R7:R13)</f>
        <v/>
      </c>
      <c r="S14" s="59">
        <f>MEDIAN(S7:S13)</f>
        <v/>
      </c>
      <c r="T14" s="58">
        <f>MEDIAN(T7:T13)</f>
        <v/>
      </c>
    </row>
    <row r="15" ht="22" customHeight="1">
      <c r="A15" s="35" t="inlineStr">
        <is>
          <t>PROMEDIO</t>
        </is>
      </c>
      <c r="B15" s="60" t="inlineStr">
        <is>
          <t>PROMEDIO DEL SECTOR (Media Aritmética)</t>
        </is>
      </c>
      <c r="C15" s="61">
        <f>AVERAGE(C7:C13)</f>
        <v/>
      </c>
      <c r="D15" s="61">
        <f>AVERAGE(D7:D13)</f>
        <v/>
      </c>
      <c r="E15" s="61">
        <f>AVERAGE(E7:E13)</f>
        <v/>
      </c>
      <c r="F15" s="40">
        <f>AVERAGE(F7:F13)</f>
        <v/>
      </c>
      <c r="G15" s="61">
        <f>AVERAGE(G7:G13)</f>
        <v/>
      </c>
      <c r="H15" s="40">
        <f>AVERAGE(H7:H13)</f>
        <v/>
      </c>
      <c r="I15" s="61">
        <f>AVERAGE(I7:I13)</f>
        <v/>
      </c>
      <c r="J15" s="40">
        <f>AVERAGE(J7:J13)</f>
        <v/>
      </c>
      <c r="K15" s="61">
        <f>AVERAGE(K7:K13)</f>
        <v/>
      </c>
      <c r="L15" s="40">
        <f>AVERAGE(L7:L13)</f>
        <v/>
      </c>
      <c r="M15" s="61">
        <f>AVERAGE(M7:M13)</f>
        <v/>
      </c>
      <c r="N15" s="61">
        <f>AVERAGE(N7:N13)</f>
        <v/>
      </c>
      <c r="O15" s="40">
        <f>AVERAGE(O7:O13)</f>
        <v/>
      </c>
      <c r="P15" s="40">
        <f>AVERAGE(P7:P13)</f>
        <v/>
      </c>
      <c r="Q15" s="40">
        <f>AVERAGE(Q7:Q13)</f>
        <v/>
      </c>
      <c r="R15" s="40">
        <f>AVERAGE(R7:R13)</f>
        <v/>
      </c>
      <c r="S15" s="38">
        <f>AVERAGE(S7:S13)</f>
        <v/>
      </c>
      <c r="T15" s="40">
        <f>AVERAGE(T7:T13)</f>
        <v/>
      </c>
    </row>
    <row r="16" ht="22" customHeight="1">
      <c r="A16" s="62" t="inlineStr">
        <is>
          <t>P75 LÍDER</t>
        </is>
      </c>
      <c r="B16" s="63" t="inlineStr">
        <is>
          <t>PERCENTIL 75 SUPERIOR (Cláusula Líder G4)</t>
        </is>
      </c>
      <c r="C16" s="64">
        <f>PERCENTILE(C7:C13, 0.75)</f>
        <v/>
      </c>
      <c r="D16" s="64">
        <f>PERCENTILE(D7:D13, 0.75)</f>
        <v/>
      </c>
      <c r="E16" s="64">
        <f>PERCENTILE(E7:E13, 0.75)</f>
        <v/>
      </c>
      <c r="F16" s="65">
        <f>PERCENTILE(F7:F13, 0.75)</f>
        <v/>
      </c>
      <c r="G16" s="64">
        <f>PERCENTILE(G7:G13, 0.75)</f>
        <v/>
      </c>
      <c r="H16" s="65">
        <f>PERCENTILE(H7:H13, 0.75)</f>
        <v/>
      </c>
      <c r="I16" s="64">
        <f>PERCENTILE(I7:I13, 0.75)</f>
        <v/>
      </c>
      <c r="J16" s="65">
        <f>PERCENTILE(J7:J13, 0.75)</f>
        <v/>
      </c>
      <c r="K16" s="64">
        <f>PERCENTILE(K7:K13, 0.75)</f>
        <v/>
      </c>
      <c r="L16" s="65">
        <f>PERCENTILE(L7:L13, 0.75)</f>
        <v/>
      </c>
      <c r="M16" s="64">
        <f>PERCENTILE(M7:M13, 0.75)</f>
        <v/>
      </c>
      <c r="N16" s="64">
        <f>PERCENTILE(N7:N13, 0.75)</f>
        <v/>
      </c>
      <c r="O16" s="65">
        <f>PERCENTILE(O7:O13, 0.75)</f>
        <v/>
      </c>
      <c r="P16" s="65">
        <f>PERCENTILE(P7:P13, 0.75)</f>
        <v/>
      </c>
      <c r="Q16" s="65">
        <f>PERCENTILE(Q7:Q13, 0.75)</f>
        <v/>
      </c>
      <c r="R16" s="65">
        <f>PERCENTILE(R7:R13, 0.75)</f>
        <v/>
      </c>
      <c r="S16" s="66">
        <f>PERCENTILE(S7:S13, 0.75)</f>
        <v/>
      </c>
      <c r="T16" s="65">
        <f>PERCENTILE(T7:T13, 0.75)</f>
        <v/>
      </c>
    </row>
    <row r="17" ht="18.5" customHeight="1">
      <c r="A17" s="52" t="inlineStr">
        <is>
          <t>MÁXIMO</t>
        </is>
      </c>
      <c r="B17" s="53" t="inlineStr">
        <is>
          <t>MÁXIMO DEL SECTOR</t>
        </is>
      </c>
      <c r="C17" s="41">
        <f>MAX(C7:C13)</f>
        <v/>
      </c>
      <c r="D17" s="41">
        <f>MAX(D7:D13)</f>
        <v/>
      </c>
      <c r="E17" s="41">
        <f>MAX(E7:E13)</f>
        <v/>
      </c>
      <c r="F17" s="20">
        <f>MAX(F7:F13)</f>
        <v/>
      </c>
      <c r="G17" s="41">
        <f>MAX(G7:G13)</f>
        <v/>
      </c>
      <c r="H17" s="20">
        <f>MAX(H7:H13)</f>
        <v/>
      </c>
      <c r="I17" s="41">
        <f>MAX(I7:I13)</f>
        <v/>
      </c>
      <c r="J17" s="20">
        <f>MAX(J7:J13)</f>
        <v/>
      </c>
      <c r="K17" s="41">
        <f>MAX(K7:K13)</f>
        <v/>
      </c>
      <c r="L17" s="20">
        <f>MAX(L7:L13)</f>
        <v/>
      </c>
      <c r="M17" s="41">
        <f>MAX(M7:M13)</f>
        <v/>
      </c>
      <c r="N17" s="41">
        <f>MAX(N7:N13)</f>
        <v/>
      </c>
      <c r="O17" s="20">
        <f>MAX(O7:O13)</f>
        <v/>
      </c>
      <c r="P17" s="20">
        <f>MAX(P7:P13)</f>
        <v/>
      </c>
      <c r="Q17" s="20">
        <f>MAX(Q7:Q13)</f>
        <v/>
      </c>
      <c r="R17" s="20">
        <f>MAX(R7:R13)</f>
        <v/>
      </c>
      <c r="S17" s="54">
        <f>MAX(S7:S13)</f>
        <v/>
      </c>
      <c r="T17" s="20">
        <f>MAX(T7:T13)</f>
        <v/>
      </c>
    </row>
    <row r="18" ht="18.5" customHeight="1">
      <c r="A18" s="52" t="inlineStr">
        <is>
          <t>MÍNIMO</t>
        </is>
      </c>
      <c r="B18" s="53" t="inlineStr">
        <is>
          <t>MÍNIMO DEL SECTOR</t>
        </is>
      </c>
      <c r="C18" s="41">
        <f>MIN(C7:C13)</f>
        <v/>
      </c>
      <c r="D18" s="41">
        <f>MIN(D7:D13)</f>
        <v/>
      </c>
      <c r="E18" s="41">
        <f>MIN(E7:E13)</f>
        <v/>
      </c>
      <c r="F18" s="20">
        <f>MIN(F7:F13)</f>
        <v/>
      </c>
      <c r="G18" s="41">
        <f>MIN(G7:G13)</f>
        <v/>
      </c>
      <c r="H18" s="20">
        <f>MIN(H7:H13)</f>
        <v/>
      </c>
      <c r="I18" s="41">
        <f>MIN(I7:I13)</f>
        <v/>
      </c>
      <c r="J18" s="20">
        <f>MIN(J7:J13)</f>
        <v/>
      </c>
      <c r="K18" s="41">
        <f>MIN(K7:K13)</f>
        <v/>
      </c>
      <c r="L18" s="20">
        <f>MIN(L7:L13)</f>
        <v/>
      </c>
      <c r="M18" s="41">
        <f>MIN(M7:M13)</f>
        <v/>
      </c>
      <c r="N18" s="41">
        <f>MIN(N7:N13)</f>
        <v/>
      </c>
      <c r="O18" s="20">
        <f>MIN(O7:O13)</f>
        <v/>
      </c>
      <c r="P18" s="20">
        <f>MIN(P7:P13)</f>
        <v/>
      </c>
      <c r="Q18" s="20">
        <f>MIN(Q7:Q13)</f>
        <v/>
      </c>
      <c r="R18" s="20">
        <f>MIN(R7:R13)</f>
        <v/>
      </c>
      <c r="S18" s="54">
        <f>MIN(S7:S13)</f>
        <v/>
      </c>
      <c r="T18" s="20">
        <f>MIN(T7:T13)</f>
        <v/>
      </c>
    </row>
    <row r="19" ht="22" customHeight="1">
      <c r="A19" s="67" t="inlineStr">
        <is>
          <t>RANKING</t>
        </is>
      </c>
      <c r="B19" s="68" t="inlineStr">
        <is>
          <t>POSICIÓN / RANKING DE DECK (# de 7)</t>
        </is>
      </c>
      <c r="C19" s="69">
        <f>RANK(C7, C7:C13)</f>
        <v/>
      </c>
      <c r="D19" s="69">
        <f>RANK(D7, D7:D13)</f>
        <v/>
      </c>
      <c r="E19" s="69">
        <f>RANK(E7, E7:E13)</f>
        <v/>
      </c>
      <c r="F19" s="69">
        <f>RANK(F7, F7:F13)</f>
        <v/>
      </c>
      <c r="G19" s="69">
        <f>RANK(G7, G7:G13)</f>
        <v/>
      </c>
      <c r="H19" s="69">
        <f>RANK(H7, H7:H13)</f>
        <v/>
      </c>
      <c r="I19" s="69">
        <f>RANK(I7, I7:I13)</f>
        <v/>
      </c>
      <c r="J19" s="69">
        <f>RANK(J7, J7:J13)</f>
        <v/>
      </c>
      <c r="K19" s="69">
        <f>RANK(K7, K7:K13)</f>
        <v/>
      </c>
      <c r="L19" s="69">
        <f>RANK(L7, L7:L13)</f>
        <v/>
      </c>
      <c r="M19" s="69">
        <f>RANK(M7, M7:M13)</f>
        <v/>
      </c>
      <c r="N19" s="69">
        <f>RANK(N7, N7:N13)</f>
        <v/>
      </c>
      <c r="O19" s="69">
        <f>RANK(O7, O7:O13)</f>
        <v/>
      </c>
      <c r="P19" s="69">
        <f>RANK(P7, P7:P13)</f>
        <v/>
      </c>
      <c r="Q19" s="69">
        <f>RANK(Q7, Q7:Q13)</f>
        <v/>
      </c>
      <c r="R19" s="69">
        <f>RANK(R7, R7:R13)</f>
        <v/>
      </c>
      <c r="S19" s="69">
        <f>RANK(S7, S7:S13)</f>
        <v/>
      </c>
      <c r="T19" s="69">
        <f>RANK(T7, T7:T13)</f>
        <v/>
      </c>
    </row>
    <row r="20" ht="10" customHeight="1"/>
    <row r="21" ht="10" customHeight="1"/>
    <row r="22" ht="22" customHeight="1">
      <c r="A22" s="18" t="inlineStr">
        <is>
          <t>CONEXIÓN AUDITABLE CON EL MOHANRAM G-SCORE</t>
        </is>
      </c>
      <c r="B22" s="19" t="n"/>
      <c r="C22" s="19" t="n"/>
      <c r="D22" s="19" t="n"/>
      <c r="E22" s="19" t="n"/>
      <c r="F22" s="19" t="n"/>
      <c r="G22" s="19" t="n"/>
      <c r="H22" s="19" t="n"/>
    </row>
    <row r="23" ht="40" customHeight="1">
      <c r="A23" s="36" t="inlineStr">
        <is>
          <t xml:space="preserve">   • Criterio G1 (ROA vs Mediana)</t>
        </is>
      </c>
      <c r="B23" s="53" t="inlineStr">
        <is>
          <t>La Utilidad Neta sobre Activos de DECK supera la Mediana del Sector (calculada en la fila superior) -&gt; [PASA: 1 PTO]</t>
        </is>
      </c>
      <c r="C23" s="70" t="n"/>
      <c r="D23" s="70" t="n"/>
      <c r="E23" s="70" t="n"/>
      <c r="F23" s="70" t="n"/>
      <c r="G23" s="70" t="n"/>
      <c r="H23" s="70" t="n"/>
    </row>
    <row r="24" ht="40" customHeight="1">
      <c r="A24" s="36" t="inlineStr">
        <is>
          <t xml:space="preserve">   • Criterio G2 (CFROA vs Mediana)</t>
        </is>
      </c>
      <c r="B24" s="53" t="inlineStr">
        <is>
          <t>El Flujo de Caja Operativo sobre Activos de DECK supera la Mediana del Sector (calculada en la fila superior) -&gt; [PASA: 1 PTO]</t>
        </is>
      </c>
      <c r="C24" s="70" t="n"/>
      <c r="D24" s="70" t="n"/>
      <c r="E24" s="70" t="n"/>
      <c r="F24" s="70" t="n"/>
      <c r="G24" s="70" t="n"/>
      <c r="H24" s="70" t="n"/>
    </row>
    <row r="25" ht="40" customHeight="1">
      <c r="A25" s="36" t="inlineStr">
        <is>
          <t xml:space="preserve">   • Criterio G4 (Estabilidad / P75)</t>
        </is>
      </c>
      <c r="B25" s="53" t="inlineStr">
        <is>
          <t>Si el ROA de DECK supera el Percentil 75 Superior, aprueba de inmediato bajo la Cláusula Líder Institucional -&gt; [PASA: 1 PTO]</t>
        </is>
      </c>
      <c r="C25" s="70" t="n"/>
      <c r="D25" s="70" t="n"/>
      <c r="E25" s="70" t="n"/>
      <c r="F25" s="70" t="n"/>
      <c r="G25" s="70" t="n"/>
      <c r="H25" s="70" t="n"/>
    </row>
    <row r="26" ht="40" customHeight="1">
      <c r="A26" s="36" t="inlineStr">
        <is>
          <t xml:space="preserve">   • Criterio G6 (Intensidad en I+D)</t>
        </is>
      </c>
      <c r="B26" s="53" t="inlineStr">
        <is>
          <t>El gasto en I+D como porcentaje de los activos instalados supera a la Mediana de competidores del sector -&gt; [PASA: 1 PTO]</t>
        </is>
      </c>
      <c r="C26" s="70" t="n"/>
      <c r="D26" s="70" t="n"/>
      <c r="E26" s="70" t="n"/>
      <c r="F26" s="70" t="n"/>
      <c r="G26" s="70" t="n"/>
      <c r="H26" s="70" t="n"/>
    </row>
    <row r="27" ht="40" customHeight="1">
      <c r="A27" s="36" t="inlineStr">
        <is>
          <t xml:space="preserve">   • Criterio G7 (Reinversión Total)</t>
        </is>
      </c>
      <c r="B27" s="53" t="inlineStr">
        <is>
          <t>La Tasa de Inversión Total (CapEx + I+D) sobre Activos para modelos Asset-Light supera el umbral sectorial -&gt; [PASA: 1 PTO]</t>
        </is>
      </c>
      <c r="C27" s="70" t="n"/>
      <c r="D27" s="70" t="n"/>
      <c r="E27" s="70" t="n"/>
      <c r="F27" s="70" t="n"/>
      <c r="G27" s="70" t="n"/>
      <c r="H27" s="70" t="n"/>
    </row>
  </sheetData>
  <mergeCells count="5">
    <mergeCell ref="B26:H26"/>
    <mergeCell ref="B27:H27"/>
    <mergeCell ref="B24:H24"/>
    <mergeCell ref="B25:H25"/>
    <mergeCell ref="B23:H23"/>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N59"/>
  <sheetViews>
    <sheetView showGridLines="1" workbookViewId="0">
      <pane xSplit="3" ySplit="7" topLeftCell="D8" activePane="bottomRight" state="frozen"/>
      <selection pane="top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s>
  <sheetData>
    <row r="1" ht="30" customHeight="1">
      <c r="A1" s="1" t="inlineStr">
        <is>
          <t>DECKERS OUTDOOR CORP (DECK) - Auditoría Forense Contable &amp; Calidad de Beneficios</t>
        </is>
      </c>
    </row>
    <row r="2" ht="18" customHeight="1">
      <c r="A2" s="2" t="inlineStr">
        <is>
          <t>Detección de Manipulación Contable: Ratio de Devengos Sloan, Divergencias de Alerta Temprana y Montier C-Score (0-6)</t>
        </is>
      </c>
    </row>
    <row r="3" ht="8" customHeight="1"/>
    <row r="4" ht="22" customHeight="1">
      <c r="A4" s="18" t="inlineStr">
        <is>
          <t>DICTAMEN FORENSE GENERAL</t>
        </is>
      </c>
      <c r="B4" s="26" t="inlineStr">
        <is>
          <t>Período: LTM</t>
        </is>
      </c>
      <c r="C4" s="26" t="inlineStr">
        <is>
          <t>Sloan: -4.73% [EXCELENTE]</t>
        </is>
      </c>
      <c r="D4" s="26" t="inlineStr">
        <is>
          <t>Montier C-Score: 3/6 [ZONA DE VIGILANCIA CONTABLE]</t>
        </is>
      </c>
      <c r="E4" s="26" t="inlineStr">
        <is>
          <t>Estado Global: ZONA DE VIGILANCIA</t>
        </is>
      </c>
      <c r="F4" s="19" t="n"/>
      <c r="G4" s="19" t="n"/>
      <c r="H4" s="19" t="n"/>
      <c r="I4" s="19" t="n"/>
      <c r="J4" s="19" t="n"/>
      <c r="K4" s="19" t="n"/>
      <c r="L4" s="19" t="n"/>
      <c r="M4" s="19" t="n"/>
      <c r="N4" s="19" t="n"/>
    </row>
    <row r="5" ht="56" customHeight="1">
      <c r="A5" s="27" t="inlineStr">
        <is>
          <t>VEREDICTO FORENSE:</t>
        </is>
      </c>
      <c r="B5" s="93" t="inlineStr">
        <is>
          <t>ZONA DE VIGILANCIA POR DESFASES OPERATIVOS: Montier C-Score de 3/6 con divergencias puntuales en capital de trabajo. Revisar ciclos estacionales de inventarios y condiciones comerciales de cobro.</t>
        </is>
      </c>
    </row>
    <row r="6" ht="10" customHeight="1"/>
    <row r="7" ht="22" customHeight="1">
      <c r="A7" s="18" t="inlineStr">
        <is>
          <t>TABLA 1: RATIO DE DEVENGOS DE SLOAN (SLOAN ACCRUAL ANOMALY - RICHARD SLOAN 1996)</t>
        </is>
      </c>
      <c r="B7" s="19" t="n"/>
      <c r="C7" s="19" t="n"/>
      <c r="D7" s="19" t="n"/>
      <c r="E7" s="19" t="n"/>
      <c r="F7" s="19" t="n"/>
      <c r="G7" s="19" t="n"/>
      <c r="H7" s="19" t="n"/>
      <c r="I7" s="19" t="n"/>
      <c r="J7" s="19" t="n"/>
      <c r="K7" s="19" t="n"/>
      <c r="L7" s="19" t="n"/>
      <c r="M7" s="19" t="n"/>
      <c r="N7" s="19" t="n"/>
    </row>
    <row r="8" ht="25" customHeight="1">
      <c r="A8" s="3" t="inlineStr">
        <is>
          <t>Componente Contable / Métrica Sloan</t>
        </is>
      </c>
      <c r="B8" s="5" t="inlineStr">
        <is>
          <t>Definición / Fórmula Contable</t>
        </is>
      </c>
      <c r="C8" s="5" t="inlineStr">
        <is>
          <t>Zona Óptima / Umbral</t>
        </is>
      </c>
      <c r="D8" s="4" t="inlineStr">
        <is>
          <t>LTM</t>
        </is>
      </c>
      <c r="E8" s="5" t="inlineStr">
        <is>
          <t>FY2026</t>
        </is>
      </c>
      <c r="F8" s="5" t="inlineStr">
        <is>
          <t>FY2025</t>
        </is>
      </c>
      <c r="G8" s="5" t="inlineStr">
        <is>
          <t>FY2024</t>
        </is>
      </c>
      <c r="H8" s="5" t="inlineStr">
        <is>
          <t>FY2023</t>
        </is>
      </c>
      <c r="I8" s="5" t="inlineStr">
        <is>
          <t>FY2022</t>
        </is>
      </c>
      <c r="J8" s="5" t="inlineStr">
        <is>
          <t>FY2021</t>
        </is>
      </c>
      <c r="K8" s="5" t="inlineStr">
        <is>
          <t>FY2020</t>
        </is>
      </c>
      <c r="L8" s="5" t="inlineStr">
        <is>
          <t>FY2019</t>
        </is>
      </c>
      <c r="M8" s="5" t="inlineStr">
        <is>
          <t>FY2018</t>
        </is>
      </c>
      <c r="N8" s="5" t="inlineStr">
        <is>
          <t>FY2017</t>
        </is>
      </c>
    </row>
    <row r="9" ht="18.5" customHeight="1">
      <c r="A9" s="6" t="inlineStr">
        <is>
          <t>(+) Utilidad Neta ($M) [Income Statement]</t>
        </is>
      </c>
      <c r="B9" s="29" t="inlineStr">
        <is>
          <t>Beneficio Neto Auditado SEC</t>
        </is>
      </c>
      <c r="C9" s="74" t="inlineStr">
        <is>
          <t>Base Devengada</t>
        </is>
      </c>
      <c r="D9" s="75" t="n">
        <v>1014.84</v>
      </c>
      <c r="E9" s="75" t="n">
        <v>1024.071</v>
      </c>
      <c r="F9" s="75" t="n">
        <v>966.091</v>
      </c>
      <c r="G9" s="75" t="n">
        <v>759.563</v>
      </c>
      <c r="H9" s="75" t="n">
        <v>516.822</v>
      </c>
      <c r="I9" s="75" t="n">
        <v>451.949</v>
      </c>
      <c r="J9" s="75" t="n">
        <v>382.575</v>
      </c>
      <c r="K9" s="75" t="n">
        <v>276.142</v>
      </c>
      <c r="L9" s="75" t="n">
        <v>264.308</v>
      </c>
      <c r="M9" s="75" t="n">
        <v>114.394</v>
      </c>
      <c r="N9" s="75" t="n">
        <v>-47.327</v>
      </c>
    </row>
    <row r="10" ht="18.5" customHeight="1">
      <c r="A10" s="6" t="inlineStr">
        <is>
          <t>(-) Flujo de Caja Operativo CFO ($M) [Cash Flow]</t>
        </is>
      </c>
      <c r="B10" s="29" t="inlineStr">
        <is>
          <t>Efectivo Generado por Operaciones</t>
        </is>
      </c>
      <c r="C10" s="74" t="inlineStr">
        <is>
          <t>Base Efectivo</t>
        </is>
      </c>
      <c r="D10" s="75" t="n">
        <v>1193.713</v>
      </c>
      <c r="E10" s="75" t="n">
        <v>1181.955</v>
      </c>
      <c r="F10" s="75" t="n">
        <v>1044.523</v>
      </c>
      <c r="G10" s="75" t="n">
        <v>1033.184</v>
      </c>
      <c r="H10" s="75" t="n">
        <v>537.422</v>
      </c>
      <c r="I10" s="75" t="n">
        <v>172.353</v>
      </c>
      <c r="J10" s="75" t="n">
        <v>596.217</v>
      </c>
      <c r="K10" s="75" t="n">
        <v>286.334</v>
      </c>
      <c r="L10" s="75" t="n">
        <v>359.505</v>
      </c>
      <c r="M10" s="75" t="n">
        <v>327.351</v>
      </c>
      <c r="N10" s="75" t="n">
        <v>169.654</v>
      </c>
    </row>
    <row r="11" ht="18.5" customHeight="1">
      <c r="A11" s="36" t="inlineStr">
        <is>
          <t>(=) Devengos Contables Totales ($M)</t>
        </is>
      </c>
      <c r="B11" s="29" t="inlineStr">
        <is>
          <t>Utilidad Neta - Flujo de Caja Operativo (CFO)</t>
        </is>
      </c>
      <c r="C11" s="74" t="inlineStr">
        <is>
          <t>CFO &gt; NI (Deseable)</t>
        </is>
      </c>
      <c r="D11" s="76" t="n">
        <v>-178.873</v>
      </c>
      <c r="E11" s="76" t="n">
        <v>-157.884</v>
      </c>
      <c r="F11" s="76" t="n">
        <v>-78.432</v>
      </c>
      <c r="G11" s="76" t="n">
        <v>-273.621</v>
      </c>
      <c r="H11" s="76" t="n">
        <v>-20.6</v>
      </c>
      <c r="I11" s="76" t="n">
        <v>279.596</v>
      </c>
      <c r="J11" s="76" t="n">
        <v>-213.642</v>
      </c>
      <c r="K11" s="76" t="n">
        <v>-10.192</v>
      </c>
      <c r="L11" s="76" t="n">
        <v>-95.197</v>
      </c>
      <c r="M11" s="76" t="n">
        <v>-212.957</v>
      </c>
      <c r="N11" s="76" t="n">
        <v>-216.981</v>
      </c>
    </row>
    <row r="12" ht="18.5" customHeight="1">
      <c r="A12" s="6" t="inlineStr">
        <is>
          <t>Activos Totales al Cierre ($M) [Balance Sheet]</t>
        </is>
      </c>
      <c r="B12" s="29" t="inlineStr">
        <is>
          <t>Activos Totales Reportados al Cierre</t>
        </is>
      </c>
      <c r="C12" s="74" t="inlineStr">
        <is>
          <t>Referencia Balance</t>
        </is>
      </c>
      <c r="D12" s="75" t="n">
        <v>3868.621</v>
      </c>
      <c r="E12" s="75" t="n">
        <v>3687.765</v>
      </c>
      <c r="F12" s="75" t="n">
        <v>3570.252</v>
      </c>
      <c r="G12" s="75" t="n">
        <v>3135.579</v>
      </c>
      <c r="H12" s="75" t="n">
        <v>2556.203</v>
      </c>
      <c r="I12" s="75" t="n">
        <v>2332.25</v>
      </c>
      <c r="J12" s="75" t="n">
        <v>2167.705</v>
      </c>
      <c r="K12" s="75" t="n">
        <v>1765.118</v>
      </c>
      <c r="L12" s="75" t="n">
        <v>1427.206</v>
      </c>
      <c r="M12" s="75" t="n">
        <v>1264.379</v>
      </c>
      <c r="N12" s="75" t="n">
        <v>1191.78</v>
      </c>
    </row>
    <row r="13" ht="18.5" customHeight="1">
      <c r="A13" s="6" t="inlineStr">
        <is>
          <t>Activos Totales Promedio ($M) [Denominador Sloan]</t>
        </is>
      </c>
      <c r="B13" s="29" t="inlineStr">
        <is>
          <t>(Activos_t + Activos_t-1) / 2</t>
        </is>
      </c>
      <c r="C13" s="74" t="inlineStr">
        <is>
          <t>Base de Activos</t>
        </is>
      </c>
      <c r="D13" s="75" t="n">
        <v>3778.193</v>
      </c>
      <c r="E13" s="75" t="n">
        <v>3629.0085</v>
      </c>
      <c r="F13" s="75" t="n">
        <v>3352.9155</v>
      </c>
      <c r="G13" s="75" t="n">
        <v>2845.891</v>
      </c>
      <c r="H13" s="75" t="n">
        <v>2444.2265</v>
      </c>
      <c r="I13" s="75" t="n">
        <v>2249.9775</v>
      </c>
      <c r="J13" s="75" t="n">
        <v>1966.4115</v>
      </c>
      <c r="K13" s="75" t="n">
        <v>1596.162</v>
      </c>
      <c r="L13" s="75" t="n">
        <v>1345.7925</v>
      </c>
      <c r="M13" s="75" t="n">
        <v>1228.0795</v>
      </c>
      <c r="N13" s="75" t="n">
        <v>1191.78</v>
      </c>
    </row>
    <row r="14" ht="18.5" customHeight="1">
      <c r="A14" s="36" t="inlineStr">
        <is>
          <t>(=) Ratio de Devengos de Sloan (%)</t>
        </is>
      </c>
      <c r="B14" s="29" t="inlineStr">
        <is>
          <t>(Utilidad Neta - CFO) / Activos Promedio</t>
        </is>
      </c>
      <c r="C14" s="74" t="inlineStr">
        <is>
          <t>Óptimo: &lt; -3% | Alerta: &gt; +10%</t>
        </is>
      </c>
      <c r="D14" s="77" t="n">
        <v>-0.0473</v>
      </c>
      <c r="E14" s="77" t="n">
        <v>-0.0435</v>
      </c>
      <c r="F14" s="78" t="n">
        <v>-0.0234</v>
      </c>
      <c r="G14" s="77" t="n">
        <v>-0.0961</v>
      </c>
      <c r="H14" s="78" t="n">
        <v>-0.008399999999999999</v>
      </c>
      <c r="I14" s="79" t="n">
        <v>0.1243</v>
      </c>
      <c r="J14" s="77" t="n">
        <v>-0.1086</v>
      </c>
      <c r="K14" s="78" t="n">
        <v>-0.0064</v>
      </c>
      <c r="L14" s="77" t="n">
        <v>-0.0707</v>
      </c>
      <c r="M14" s="77" t="n">
        <v>-0.1734</v>
      </c>
      <c r="N14" s="77" t="n">
        <v>-0.1821</v>
      </c>
    </row>
    <row r="15" ht="18.5" customHeight="1">
      <c r="A15" s="6" t="inlineStr">
        <is>
          <t>Calidad de Beneficios &amp; Conversión de Caja</t>
        </is>
      </c>
      <c r="B15" s="29" t="inlineStr">
        <is>
          <t>Dictamen de Fidelidad Contable</t>
        </is>
      </c>
      <c r="C15" s="74" t="inlineStr">
        <is>
          <t>Alta Conversión / Saludable</t>
        </is>
      </c>
      <c r="D15" s="119" t="inlineStr">
        <is>
          <t>ALTA CONVERSIÓN DE CAJA (CFO &gt; NI)</t>
        </is>
      </c>
      <c r="E15" s="119" t="inlineStr">
        <is>
          <t>ALTA CONVERSIÓN DE CAJA (CFO &gt; NI)</t>
        </is>
      </c>
      <c r="F15" s="52" t="inlineStr">
        <is>
          <t>DEVENGOS EQUILIBRADOS</t>
        </is>
      </c>
      <c r="G15" s="119" t="inlineStr">
        <is>
          <t>ALTA CONVERSIÓN DE CAJA (CFO &gt; NI)</t>
        </is>
      </c>
      <c r="H15" s="52" t="inlineStr">
        <is>
          <t>DEVENGOS EQUILIBRADOS</t>
        </is>
      </c>
      <c r="I15" s="120" t="inlineStr">
        <is>
          <t>PELIGRO DE MANIPULACIÓN</t>
        </is>
      </c>
      <c r="J15" s="119" t="inlineStr">
        <is>
          <t>ALTA CONVERSIÓN DE CAJA (CFO &gt; NI)</t>
        </is>
      </c>
      <c r="K15" s="52" t="inlineStr">
        <is>
          <t>DEVENGOS EQUILIBRADOS</t>
        </is>
      </c>
      <c r="L15" s="119" t="inlineStr">
        <is>
          <t>ALTA CONVERSIÓN DE CAJA (CFO &gt; NI)</t>
        </is>
      </c>
      <c r="M15" s="119" t="inlineStr">
        <is>
          <t>ALTA CONVERSIÓN DE CAJA (CFO &gt; NI)</t>
        </is>
      </c>
      <c r="N15" s="119" t="inlineStr">
        <is>
          <t>ALTA CONVERSIÓN DE CAJA (CFO &gt; NI)</t>
        </is>
      </c>
    </row>
    <row r="16" ht="18.5" customHeight="1">
      <c r="A16" s="36" t="inlineStr">
        <is>
          <t>Dictamen Forense de Devengos (Status)</t>
        </is>
      </c>
      <c r="B16" s="29" t="inlineStr">
        <is>
          <t>Interpretación de Riesgo Contable</t>
        </is>
      </c>
      <c r="C16" s="74" t="inlineStr">
        <is>
          <t>Bajo Riesgo de Manipulación</t>
        </is>
      </c>
      <c r="D16" s="119" t="inlineStr">
        <is>
          <t>EXCELENTE</t>
        </is>
      </c>
      <c r="E16" s="119" t="inlineStr">
        <is>
          <t>EXCELENTE</t>
        </is>
      </c>
      <c r="F16" s="119" t="inlineStr">
        <is>
          <t>SALUDABLE</t>
        </is>
      </c>
      <c r="G16" s="119" t="inlineStr">
        <is>
          <t>EXCELENTE</t>
        </is>
      </c>
      <c r="H16" s="119" t="inlineStr">
        <is>
          <t>SALUDABLE</t>
        </is>
      </c>
      <c r="I16" s="120" t="inlineStr">
        <is>
          <t>ALERTA ROJA</t>
        </is>
      </c>
      <c r="J16" s="119" t="inlineStr">
        <is>
          <t>EXCELENTE</t>
        </is>
      </c>
      <c r="K16" s="119" t="inlineStr">
        <is>
          <t>SALUDABLE</t>
        </is>
      </c>
      <c r="L16" s="119" t="inlineStr">
        <is>
          <t>EXCELENTE</t>
        </is>
      </c>
      <c r="M16" s="119" t="inlineStr">
        <is>
          <t>EXCELENTE</t>
        </is>
      </c>
      <c r="N16" s="119" t="inlineStr">
        <is>
          <t>EXCELENTE</t>
        </is>
      </c>
    </row>
    <row r="17" ht="56" customHeight="1">
      <c r="A17" s="111" t="inlineStr">
        <is>
          <t>Diagnóstico Forense Sloan (LTM): Conservadurismo contable sobresaliente. El flujo de caja operativo supera holgadamente a la utilidad neta, generando devengos negativos que blindan al accionista de inflaciones artificiales de beneficios.</t>
        </is>
      </c>
      <c r="B17" s="70" t="n"/>
      <c r="C17" s="70" t="n"/>
      <c r="D17" s="70" t="n"/>
      <c r="E17" s="70" t="n"/>
      <c r="F17" s="70" t="n"/>
      <c r="G17" s="70" t="n"/>
      <c r="H17" s="70" t="n"/>
      <c r="I17" s="70" t="n"/>
      <c r="J17" s="70" t="n"/>
      <c r="K17" s="70" t="n"/>
      <c r="L17" s="70" t="n"/>
      <c r="M17" s="70" t="n"/>
      <c r="N17" s="70" t="n"/>
    </row>
    <row r="18" ht="10" customHeight="1"/>
    <row r="19" ht="22" customHeight="1">
      <c r="A19" s="18" t="inlineStr">
        <is>
          <t>TABLA 2: MATRIZ DE DIVERGENCIAS DE ALERTA TEMPRANA (EARLY WARNING DIVERGENCE SPREADS)</t>
        </is>
      </c>
      <c r="B19" s="19" t="n"/>
      <c r="C19" s="19" t="n"/>
      <c r="D19" s="19" t="n"/>
      <c r="E19" s="19" t="n"/>
      <c r="F19" s="19" t="n"/>
      <c r="G19" s="19" t="n"/>
      <c r="H19" s="19" t="n"/>
      <c r="I19" s="19" t="n"/>
      <c r="J19" s="19" t="n"/>
      <c r="K19" s="19" t="n"/>
      <c r="L19" s="19" t="n"/>
      <c r="M19" s="19" t="n"/>
      <c r="N19" s="19" t="n"/>
    </row>
    <row r="20" ht="25" customHeight="1">
      <c r="A20" s="3" t="inlineStr">
        <is>
          <t>Métrica de Divergencia Contable</t>
        </is>
      </c>
      <c r="B20" s="5" t="inlineStr">
        <is>
          <t>Riesgo de Trampa Detectado</t>
        </is>
      </c>
      <c r="C20" s="5" t="inlineStr">
        <is>
          <t>Umbral de Alerta</t>
        </is>
      </c>
      <c r="D20" s="4" t="inlineStr">
        <is>
          <t>LTM</t>
        </is>
      </c>
      <c r="E20" s="5" t="inlineStr">
        <is>
          <t>FY2026</t>
        </is>
      </c>
      <c r="F20" s="5" t="inlineStr">
        <is>
          <t>FY2025</t>
        </is>
      </c>
      <c r="G20" s="5" t="inlineStr">
        <is>
          <t>FY2024</t>
        </is>
      </c>
      <c r="H20" s="5" t="inlineStr">
        <is>
          <t>FY2023</t>
        </is>
      </c>
      <c r="I20" s="5" t="inlineStr">
        <is>
          <t>FY2022</t>
        </is>
      </c>
      <c r="J20" s="5" t="inlineStr">
        <is>
          <t>FY2021</t>
        </is>
      </c>
      <c r="K20" s="5" t="inlineStr">
        <is>
          <t>FY2020</t>
        </is>
      </c>
      <c r="L20" s="5" t="inlineStr">
        <is>
          <t>FY2019</t>
        </is>
      </c>
      <c r="M20" s="5" t="inlineStr">
        <is>
          <t>FY2018</t>
        </is>
      </c>
      <c r="N20" s="5" t="inlineStr">
        <is>
          <t>FY2017</t>
        </is>
      </c>
    </row>
    <row r="21" ht="22" customHeight="1">
      <c r="A21" s="18" t="inlineStr">
        <is>
          <t>A. Divergencia Cuentas por Cobrar vs. Ventas (Alerta de Facturación Agresiva / Channel Stuffing)</t>
        </is>
      </c>
      <c r="B21" s="19" t="n"/>
      <c r="C21" s="19" t="n"/>
      <c r="D21" s="19" t="n"/>
      <c r="E21" s="19" t="n"/>
      <c r="F21" s="19" t="n"/>
      <c r="G21" s="19" t="n"/>
      <c r="H21" s="19" t="n"/>
      <c r="I21" s="19" t="n"/>
      <c r="J21" s="19" t="n"/>
      <c r="K21" s="19" t="n"/>
      <c r="L21" s="19" t="n"/>
      <c r="M21" s="19" t="n"/>
      <c r="N21" s="19" t="n"/>
    </row>
    <row r="22" ht="18.5" customHeight="1">
      <c r="A22" s="6" t="inlineStr">
        <is>
          <t>(+) Cuentas por Cobrar Netas ($M) [Accounts Receivable]</t>
        </is>
      </c>
      <c r="B22" s="29" t="inlineStr">
        <is>
          <t>Saldo de Clientes en Balance</t>
        </is>
      </c>
      <c r="C22" s="74" t="inlineStr">
        <is>
          <t>Auditoría Balance</t>
        </is>
      </c>
      <c r="D22" s="75" t="n">
        <v>378.348</v>
      </c>
      <c r="E22" s="75" t="n">
        <v>318.978</v>
      </c>
      <c r="F22" s="75" t="n">
        <v>332.872</v>
      </c>
      <c r="G22" s="75" t="n">
        <v>296.565</v>
      </c>
      <c r="H22" s="75" t="n">
        <v>301.511</v>
      </c>
      <c r="I22" s="75" t="n">
        <v>302.688</v>
      </c>
      <c r="J22" s="75" t="n">
        <v>215.718</v>
      </c>
      <c r="K22" s="75" t="n">
        <v>185.596</v>
      </c>
      <c r="L22" s="75" t="n">
        <v>178.602</v>
      </c>
      <c r="M22" s="75" t="n">
        <v>143.704</v>
      </c>
      <c r="N22" s="75" t="n">
        <v>158.643</v>
      </c>
    </row>
    <row r="23" ht="18.5" customHeight="1">
      <c r="A23" s="6" t="inlineStr">
        <is>
          <t>Crecimiento Interanual Cuentas por Cobrar (Δ AR %)</t>
        </is>
      </c>
      <c r="B23" s="29" t="inlineStr">
        <is>
          <t>(AR_t - AR_t-1) / AR_t-1</t>
        </is>
      </c>
      <c r="C23" s="74" t="inlineStr">
        <is>
          <t>Ritmo de Cartera</t>
        </is>
      </c>
      <c r="D23" s="94" t="n">
        <v>0.186126</v>
      </c>
      <c r="E23" s="94" t="n">
        <v>-0.04174</v>
      </c>
      <c r="F23" s="94" t="n">
        <v>0.122425</v>
      </c>
      <c r="G23" s="94" t="n">
        <v>-0.016404</v>
      </c>
      <c r="H23" s="94" t="n">
        <v>-0.003888</v>
      </c>
      <c r="I23" s="94" t="n">
        <v>0.403165</v>
      </c>
      <c r="J23" s="94" t="n">
        <v>0.162299</v>
      </c>
      <c r="K23" s="94" t="n">
        <v>0.03916</v>
      </c>
      <c r="L23" s="94" t="n">
        <v>0.242846</v>
      </c>
      <c r="M23" s="94" t="n">
        <v>-0.094167</v>
      </c>
      <c r="N23" s="82" t="inlineStr">
        <is>
          <t>-</t>
        </is>
      </c>
    </row>
    <row r="24" ht="18.5" customHeight="1">
      <c r="A24" s="6" t="inlineStr">
        <is>
          <t>(+) Ingresos por Ventas ($M) [Revenue]</t>
        </is>
      </c>
      <c r="B24" s="29" t="inlineStr">
        <is>
          <t>Ventas Netas Reportadas</t>
        </is>
      </c>
      <c r="C24" s="74" t="inlineStr">
        <is>
          <t>Auditoría Resultados</t>
        </is>
      </c>
      <c r="D24" s="75" t="n">
        <v>5527.289</v>
      </c>
      <c r="E24" s="75" t="n">
        <v>5472.296</v>
      </c>
      <c r="F24" s="75" t="n">
        <v>4985.612</v>
      </c>
      <c r="G24" s="75" t="n">
        <v>4287.763</v>
      </c>
      <c r="H24" s="75" t="n">
        <v>3627.286</v>
      </c>
      <c r="I24" s="75" t="n">
        <v>3150.339</v>
      </c>
      <c r="J24" s="75" t="n">
        <v>2545.641</v>
      </c>
      <c r="K24" s="75" t="n">
        <v>2132.689</v>
      </c>
      <c r="L24" s="75" t="n">
        <v>2020.437</v>
      </c>
      <c r="M24" s="75" t="n">
        <v>1903.339</v>
      </c>
      <c r="N24" s="75" t="n">
        <v>1790.147</v>
      </c>
    </row>
    <row r="25" ht="18.5" customHeight="1">
      <c r="A25" s="6" t="inlineStr">
        <is>
          <t>Crecimiento Interanual Ventas (Δ Ventas %)</t>
        </is>
      </c>
      <c r="B25" s="29" t="inlineStr">
        <is>
          <t>(Ventas_t - Ventas_t-1) / Ventas_t-1</t>
        </is>
      </c>
      <c r="C25" s="74" t="inlineStr">
        <is>
          <t>Ritmo Comercial</t>
        </is>
      </c>
      <c r="D25" s="94" t="n">
        <v>0.010049</v>
      </c>
      <c r="E25" s="94" t="n">
        <v>0.097618</v>
      </c>
      <c r="F25" s="94" t="n">
        <v>0.162754</v>
      </c>
      <c r="G25" s="94" t="n">
        <v>0.182086</v>
      </c>
      <c r="H25" s="94" t="n">
        <v>0.151395</v>
      </c>
      <c r="I25" s="94" t="n">
        <v>0.237543</v>
      </c>
      <c r="J25" s="94" t="n">
        <v>0.19363</v>
      </c>
      <c r="K25" s="94" t="n">
        <v>0.055558</v>
      </c>
      <c r="L25" s="94" t="n">
        <v>0.061522</v>
      </c>
      <c r="M25" s="94" t="n">
        <v>0.063231</v>
      </c>
      <c r="N25" s="82" t="inlineStr">
        <is>
          <t>-</t>
        </is>
      </c>
    </row>
    <row r="26" ht="18.5" customHeight="1">
      <c r="A26" s="36" t="inlineStr">
        <is>
          <t>(=) Spread Divergencia AR - Ventas (%)</t>
        </is>
      </c>
      <c r="B26" s="29" t="inlineStr">
        <is>
          <t>Δ AR % - Δ Ventas %</t>
        </is>
      </c>
      <c r="C26" s="74" t="inlineStr">
        <is>
          <t>Alerta si &gt; +10.0%</t>
        </is>
      </c>
      <c r="D26" s="95" t="n">
        <v>0.176076</v>
      </c>
      <c r="E26" s="96" t="n">
        <v>-0.139357</v>
      </c>
      <c r="F26" s="96" t="n">
        <v>-0.040329</v>
      </c>
      <c r="G26" s="96" t="n">
        <v>-0.19849</v>
      </c>
      <c r="H26" s="96" t="n">
        <v>-0.155284</v>
      </c>
      <c r="I26" s="95" t="n">
        <v>0.165623</v>
      </c>
      <c r="J26" s="96" t="n">
        <v>-0.031331</v>
      </c>
      <c r="K26" s="96" t="n">
        <v>-0.016399</v>
      </c>
      <c r="L26" s="95" t="n">
        <v>0.181324</v>
      </c>
      <c r="M26" s="96" t="n">
        <v>-0.157398</v>
      </c>
      <c r="N26" s="82" t="inlineStr">
        <is>
          <t>-</t>
        </is>
      </c>
    </row>
    <row r="27" ht="18.5" customHeight="1">
      <c r="A27" s="6" t="inlineStr">
        <is>
          <t>Días de Cobro Pendientes (DSO - Días)</t>
        </is>
      </c>
      <c r="B27" s="29" t="inlineStr">
        <is>
          <t>(AR / Ventas) * 365</t>
        </is>
      </c>
      <c r="C27" s="74" t="inlineStr">
        <is>
          <t>Rotación de Cobros</t>
        </is>
      </c>
      <c r="D27" s="85" t="n">
        <v>25</v>
      </c>
      <c r="E27" s="85" t="n">
        <v>21.3</v>
      </c>
      <c r="F27" s="85" t="n">
        <v>24.4</v>
      </c>
      <c r="G27" s="85" t="n">
        <v>25.2</v>
      </c>
      <c r="H27" s="85" t="n">
        <v>30.3</v>
      </c>
      <c r="I27" s="85" t="n">
        <v>35.1</v>
      </c>
      <c r="J27" s="85" t="n">
        <v>30.9</v>
      </c>
      <c r="K27" s="85" t="n">
        <v>31.8</v>
      </c>
      <c r="L27" s="85" t="n">
        <v>32.3</v>
      </c>
      <c r="M27" s="85" t="n">
        <v>27.6</v>
      </c>
      <c r="N27" s="85" t="n">
        <v>32.3</v>
      </c>
    </row>
    <row r="28" ht="18.5" customHeight="1">
      <c r="A28" s="6" t="inlineStr">
        <is>
          <t>Variación en Días de Cobro (Δ DSO)</t>
        </is>
      </c>
      <c r="B28" s="29" t="inlineStr">
        <is>
          <t>DSO_t - DSO_t-1</t>
        </is>
      </c>
      <c r="C28" s="74" t="inlineStr">
        <is>
          <t>Alerta si &gt; +5.0d</t>
        </is>
      </c>
      <c r="D28" s="86" t="n">
        <v>3.7</v>
      </c>
      <c r="E28" s="86" t="n">
        <v>-3.1</v>
      </c>
      <c r="F28" s="86" t="n">
        <v>-0.9</v>
      </c>
      <c r="G28" s="86" t="n">
        <v>-5.1</v>
      </c>
      <c r="H28" s="86" t="n">
        <v>-4.7</v>
      </c>
      <c r="I28" s="86" t="n">
        <v>4.1</v>
      </c>
      <c r="J28" s="86" t="n">
        <v>-0.8</v>
      </c>
      <c r="K28" s="86" t="n">
        <v>-0.5</v>
      </c>
      <c r="L28" s="86" t="n">
        <v>4.7</v>
      </c>
      <c r="M28" s="86" t="n">
        <v>-4.8</v>
      </c>
      <c r="N28" s="82" t="inlineStr">
        <is>
          <t>-</t>
        </is>
      </c>
    </row>
    <row r="29" ht="18.5" customHeight="1">
      <c r="A29" s="36" t="inlineStr">
        <is>
          <t>Dictamen de Cobranza &amp; Riesgo Comercial</t>
        </is>
      </c>
      <c r="B29" s="29" t="inlineStr">
        <is>
          <t>Diagnóstico de Agresividad</t>
        </is>
      </c>
      <c r="C29" s="74" t="inlineStr">
        <is>
          <t>Sin Señales / Alerta</t>
        </is>
      </c>
      <c r="D29" s="119" t="inlineStr">
        <is>
          <t>COBRANZA SANA</t>
        </is>
      </c>
      <c r="E29" s="119" t="inlineStr">
        <is>
          <t>COBRANZA SANA</t>
        </is>
      </c>
      <c r="F29" s="119" t="inlineStr">
        <is>
          <t>COBRANZA SANA</t>
        </is>
      </c>
      <c r="G29" s="119" t="inlineStr">
        <is>
          <t>COBRANZA SANA</t>
        </is>
      </c>
      <c r="H29" s="119" t="inlineStr">
        <is>
          <t>COBRANZA SANA</t>
        </is>
      </c>
      <c r="I29" s="119" t="inlineStr">
        <is>
          <t>COBRANZA SANA</t>
        </is>
      </c>
      <c r="J29" s="119" t="inlineStr">
        <is>
          <t>COBRANZA SANA</t>
        </is>
      </c>
      <c r="K29" s="119" t="inlineStr">
        <is>
          <t>COBRANZA SANA</t>
        </is>
      </c>
      <c r="L29" s="119" t="inlineStr">
        <is>
          <t>COBRANZA SANA</t>
        </is>
      </c>
      <c r="M29" s="119" t="inlineStr">
        <is>
          <t>COBRANZA SANA</t>
        </is>
      </c>
      <c r="N29" s="119" t="inlineStr">
        <is>
          <t>COBRANZA SANA</t>
        </is>
      </c>
    </row>
    <row r="30" ht="10" customHeight="1"/>
    <row r="31" ht="22" customHeight="1">
      <c r="A31" s="18" t="inlineStr">
        <is>
          <t>B. Divergencia Inventarios vs. Coste de Ventas (Alerta de Existencias No Vendidas / Absorción de Costes)</t>
        </is>
      </c>
      <c r="B31" s="19" t="n"/>
      <c r="C31" s="19" t="n"/>
      <c r="D31" s="19" t="n"/>
      <c r="E31" s="19" t="n"/>
      <c r="F31" s="19" t="n"/>
      <c r="G31" s="19" t="n"/>
      <c r="H31" s="19" t="n"/>
      <c r="I31" s="19" t="n"/>
      <c r="J31" s="19" t="n"/>
      <c r="K31" s="19" t="n"/>
      <c r="L31" s="19" t="n"/>
      <c r="M31" s="19" t="n"/>
      <c r="N31" s="19" t="n"/>
    </row>
    <row r="32" ht="18.5" customHeight="1">
      <c r="A32" s="6" t="inlineStr">
        <is>
          <t>(+) Inventarios Netos ($M) [Inventory]</t>
        </is>
      </c>
      <c r="B32" s="29" t="inlineStr">
        <is>
          <t>Existencias Totales en Balance</t>
        </is>
      </c>
      <c r="C32" s="74" t="inlineStr">
        <is>
          <t>Auditoría Balance</t>
        </is>
      </c>
      <c r="D32" s="75" t="n">
        <v>807.58</v>
      </c>
      <c r="E32" s="75" t="n">
        <v>487.018</v>
      </c>
      <c r="F32" s="75" t="n">
        <v>495.226</v>
      </c>
      <c r="G32" s="75" t="n">
        <v>474.311</v>
      </c>
      <c r="H32" s="75" t="n">
        <v>532.852</v>
      </c>
      <c r="I32" s="75" t="n">
        <v>506.796</v>
      </c>
      <c r="J32" s="75" t="n">
        <v>278.242</v>
      </c>
      <c r="K32" s="75" t="n">
        <v>311.62</v>
      </c>
      <c r="L32" s="75" t="n">
        <v>278.842</v>
      </c>
      <c r="M32" s="75" t="n">
        <v>299.602</v>
      </c>
      <c r="N32" s="75" t="n">
        <v>298.851</v>
      </c>
    </row>
    <row r="33" ht="18.5" customHeight="1">
      <c r="A33" s="6" t="inlineStr">
        <is>
          <t>Crecimiento Interanual Inventarios (Δ Inv %)</t>
        </is>
      </c>
      <c r="B33" s="29" t="inlineStr">
        <is>
          <t>(Inv_t - Inv_t-1) / Inv_t-1</t>
        </is>
      </c>
      <c r="C33" s="74" t="inlineStr">
        <is>
          <t>Ritmo de Stock</t>
        </is>
      </c>
      <c r="D33" s="94" t="n">
        <v>0.658214</v>
      </c>
      <c r="E33" s="94" t="n">
        <v>-0.016574</v>
      </c>
      <c r="F33" s="94" t="n">
        <v>0.044096</v>
      </c>
      <c r="G33" s="94" t="n">
        <v>-0.109864</v>
      </c>
      <c r="H33" s="94" t="n">
        <v>0.051413</v>
      </c>
      <c r="I33" s="94" t="n">
        <v>0.821422</v>
      </c>
      <c r="J33" s="94" t="n">
        <v>-0.107111</v>
      </c>
      <c r="K33" s="94" t="n">
        <v>0.11755</v>
      </c>
      <c r="L33" s="94" t="n">
        <v>-0.06929200000000001</v>
      </c>
      <c r="M33" s="94" t="n">
        <v>0.002513</v>
      </c>
      <c r="N33" s="82" t="inlineStr">
        <is>
          <t>-</t>
        </is>
      </c>
    </row>
    <row r="34" ht="18.5" customHeight="1">
      <c r="A34" s="6" t="inlineStr">
        <is>
          <t>(+) Coste de Bienes Vendidos COGS ($M)</t>
        </is>
      </c>
      <c r="B34" s="29" t="inlineStr">
        <is>
          <t>Coste de Ventas Reportado</t>
        </is>
      </c>
      <c r="C34" s="74" t="inlineStr">
        <is>
          <t>Auditoría Resultados</t>
        </is>
      </c>
      <c r="D34" s="75" t="n">
        <v>2332.306</v>
      </c>
      <c r="E34" s="75" t="n">
        <v>2314.57</v>
      </c>
      <c r="F34" s="75" t="n">
        <v>2099.949</v>
      </c>
      <c r="G34" s="75" t="n">
        <v>1902.275</v>
      </c>
      <c r="H34" s="75" t="n">
        <v>1801.916</v>
      </c>
      <c r="I34" s="75" t="n">
        <v>1542.788</v>
      </c>
      <c r="J34" s="75" t="n">
        <v>1171.551</v>
      </c>
      <c r="K34" s="75" t="n">
        <v>1029.016</v>
      </c>
      <c r="L34" s="75" t="n">
        <v>980.187</v>
      </c>
      <c r="M34" s="75" t="n">
        <v>971.697</v>
      </c>
      <c r="N34" s="75" t="n">
        <v>954.912</v>
      </c>
    </row>
    <row r="35" ht="18.5" customHeight="1">
      <c r="A35" s="6" t="inlineStr">
        <is>
          <t>Crecimiento Interanual COGS (Δ COGS %)</t>
        </is>
      </c>
      <c r="B35" s="29" t="inlineStr">
        <is>
          <t>(COGS_t - COGS_t-1) / COGS_t-1</t>
        </is>
      </c>
      <c r="C35" s="74" t="inlineStr">
        <is>
          <t>Ritmo de Coste</t>
        </is>
      </c>
      <c r="D35" s="94" t="n">
        <v>0.007663</v>
      </c>
      <c r="E35" s="94" t="n">
        <v>0.102203</v>
      </c>
      <c r="F35" s="94" t="n">
        <v>0.103915</v>
      </c>
      <c r="G35" s="94" t="n">
        <v>0.055696</v>
      </c>
      <c r="H35" s="94" t="n">
        <v>0.167961</v>
      </c>
      <c r="I35" s="94" t="n">
        <v>0.316877</v>
      </c>
      <c r="J35" s="94" t="n">
        <v>0.138516</v>
      </c>
      <c r="K35" s="94" t="n">
        <v>0.049816</v>
      </c>
      <c r="L35" s="94" t="n">
        <v>0.008737</v>
      </c>
      <c r="M35" s="94" t="n">
        <v>0.017578</v>
      </c>
      <c r="N35" s="82" t="inlineStr">
        <is>
          <t>-</t>
        </is>
      </c>
    </row>
    <row r="36" ht="18.5" customHeight="1">
      <c r="A36" s="36" t="inlineStr">
        <is>
          <t>(=) Spread Divergencia Inventarios - COGS (%)</t>
        </is>
      </c>
      <c r="B36" s="29" t="inlineStr">
        <is>
          <t>Δ Inv % - Δ COGS %</t>
        </is>
      </c>
      <c r="C36" s="74" t="inlineStr">
        <is>
          <t>Alerta si &gt; +15.0%</t>
        </is>
      </c>
      <c r="D36" s="66" t="n">
        <v>0.650551</v>
      </c>
      <c r="E36" s="96" t="n">
        <v>-0.118777</v>
      </c>
      <c r="F36" s="96" t="n">
        <v>-0.059819</v>
      </c>
      <c r="G36" s="96" t="n">
        <v>-0.165559</v>
      </c>
      <c r="H36" s="96" t="n">
        <v>-0.116548</v>
      </c>
      <c r="I36" s="66" t="n">
        <v>0.504545</v>
      </c>
      <c r="J36" s="96" t="n">
        <v>-0.245627</v>
      </c>
      <c r="K36" s="96" t="n">
        <v>0.067734</v>
      </c>
      <c r="L36" s="96" t="n">
        <v>-0.078029</v>
      </c>
      <c r="M36" s="96" t="n">
        <v>-0.015065</v>
      </c>
      <c r="N36" s="82" t="inlineStr">
        <is>
          <t>-</t>
        </is>
      </c>
    </row>
    <row r="37" ht="18.5" customHeight="1">
      <c r="A37" s="6" t="inlineStr">
        <is>
          <t>Días de Inventario en Balance (DIO - Días)</t>
        </is>
      </c>
      <c r="B37" s="29" t="inlineStr">
        <is>
          <t>(Inventario / COGS) * 365</t>
        </is>
      </c>
      <c r="C37" s="74" t="inlineStr">
        <is>
          <t>Rotación de Existencias</t>
        </is>
      </c>
      <c r="D37" s="85" t="n">
        <v>126.4</v>
      </c>
      <c r="E37" s="85" t="n">
        <v>76.8</v>
      </c>
      <c r="F37" s="85" t="n">
        <v>86.09999999999999</v>
      </c>
      <c r="G37" s="85" t="n">
        <v>91</v>
      </c>
      <c r="H37" s="85" t="n">
        <v>107.9</v>
      </c>
      <c r="I37" s="85" t="n">
        <v>119.9</v>
      </c>
      <c r="J37" s="85" t="n">
        <v>86.7</v>
      </c>
      <c r="K37" s="85" t="n">
        <v>110.5</v>
      </c>
      <c r="L37" s="85" t="n">
        <v>103.8</v>
      </c>
      <c r="M37" s="85" t="n">
        <v>112.5</v>
      </c>
      <c r="N37" s="85" t="n">
        <v>114.2</v>
      </c>
    </row>
    <row r="38" ht="18.5" customHeight="1">
      <c r="A38" s="6" t="inlineStr">
        <is>
          <t>Variación en Días de Inventario (Δ DIO)</t>
        </is>
      </c>
      <c r="B38" s="29" t="inlineStr">
        <is>
          <t>DIO_t - DIO_t-1</t>
        </is>
      </c>
      <c r="C38" s="74" t="inlineStr">
        <is>
          <t>Alerta si &gt; +7.0d</t>
        </is>
      </c>
      <c r="D38" s="86" t="n">
        <v>49.6</v>
      </c>
      <c r="E38" s="86" t="n">
        <v>-9.300000000000001</v>
      </c>
      <c r="F38" s="86" t="n">
        <v>-4.9</v>
      </c>
      <c r="G38" s="86" t="n">
        <v>-16.9</v>
      </c>
      <c r="H38" s="86" t="n">
        <v>-12</v>
      </c>
      <c r="I38" s="86" t="n">
        <v>33.2</v>
      </c>
      <c r="J38" s="86" t="n">
        <v>-23.8</v>
      </c>
      <c r="K38" s="86" t="n">
        <v>6.7</v>
      </c>
      <c r="L38" s="86" t="n">
        <v>-8.699999999999999</v>
      </c>
      <c r="M38" s="86" t="n">
        <v>-1.7</v>
      </c>
      <c r="N38" s="82" t="inlineStr">
        <is>
          <t>-</t>
        </is>
      </c>
    </row>
    <row r="39" ht="18.5" customHeight="1">
      <c r="A39" s="36" t="inlineStr">
        <is>
          <t>Dictamen de Inventario &amp; Riesgo de Margen</t>
        </is>
      </c>
      <c r="B39" s="29" t="inlineStr">
        <is>
          <t>Diagnóstico de Stock / Absorción</t>
        </is>
      </c>
      <c r="C39" s="74" t="inlineStr">
        <is>
          <t>Controlado / Revisión</t>
        </is>
      </c>
      <c r="D39" s="62" t="inlineStr">
        <is>
          <t>REVISIÓN OPERATIVA</t>
        </is>
      </c>
      <c r="E39" s="119" t="inlineStr">
        <is>
          <t>INVENTARIO CONTROLADO</t>
        </is>
      </c>
      <c r="F39" s="119" t="inlineStr">
        <is>
          <t>INVENTARIO CONTROLADO</t>
        </is>
      </c>
      <c r="G39" s="119" t="inlineStr">
        <is>
          <t>INVENTARIO CONTROLADO</t>
        </is>
      </c>
      <c r="H39" s="119" t="inlineStr">
        <is>
          <t>INVENTARIO CONTROLADO</t>
        </is>
      </c>
      <c r="I39" s="62" t="inlineStr">
        <is>
          <t>REVISIÓN OPERATIVA</t>
        </is>
      </c>
      <c r="J39" s="119" t="inlineStr">
        <is>
          <t>INVENTARIO CONTROLADO</t>
        </is>
      </c>
      <c r="K39" s="119" t="inlineStr">
        <is>
          <t>INVENTARIO CONTROLADO</t>
        </is>
      </c>
      <c r="L39" s="119" t="inlineStr">
        <is>
          <t>INVENTARIO CONTROLADO</t>
        </is>
      </c>
      <c r="M39" s="119" t="inlineStr">
        <is>
          <t>INVENTARIO CONTROLADO</t>
        </is>
      </c>
      <c r="N39" s="119" t="inlineStr">
        <is>
          <t>INVENTARIO CONTROLADO</t>
        </is>
      </c>
    </row>
    <row r="40" ht="10" customHeight="1"/>
    <row r="41" ht="22" customHeight="1">
      <c r="A41" s="18" t="inlineStr">
        <is>
          <t>C. Índice de Activos Blandos (Soft Assets Ratio - Calidad Patrimonial y Capitalización de Costes)</t>
        </is>
      </c>
      <c r="B41" s="19" t="n"/>
      <c r="C41" s="19" t="n"/>
      <c r="D41" s="19" t="n"/>
      <c r="E41" s="19" t="n"/>
      <c r="F41" s="19" t="n"/>
      <c r="G41" s="19" t="n"/>
      <c r="H41" s="19" t="n"/>
      <c r="I41" s="19" t="n"/>
      <c r="J41" s="19" t="n"/>
      <c r="K41" s="19" t="n"/>
      <c r="L41" s="19" t="n"/>
      <c r="M41" s="19" t="n"/>
      <c r="N41" s="19" t="n"/>
    </row>
    <row r="42" ht="18.5" customHeight="1">
      <c r="A42" s="6" t="inlineStr">
        <is>
          <t>(+) Activos Totales en Balance ($M)</t>
        </is>
      </c>
      <c r="B42" s="29" t="inlineStr">
        <is>
          <t>Total Assets</t>
        </is>
      </c>
      <c r="C42" s="74" t="inlineStr">
        <is>
          <t>Auditoría Balance</t>
        </is>
      </c>
      <c r="D42" s="75" t="n">
        <v>3868.621</v>
      </c>
      <c r="E42" s="75" t="n">
        <v>3687.765</v>
      </c>
      <c r="F42" s="75" t="n">
        <v>3570.252</v>
      </c>
      <c r="G42" s="75" t="n">
        <v>3135.579</v>
      </c>
      <c r="H42" s="75" t="n">
        <v>2556.203</v>
      </c>
      <c r="I42" s="75" t="n">
        <v>2332.25</v>
      </c>
      <c r="J42" s="75" t="n">
        <v>2167.705</v>
      </c>
      <c r="K42" s="75" t="n">
        <v>1765.118</v>
      </c>
      <c r="L42" s="75" t="n">
        <v>1427.206</v>
      </c>
      <c r="M42" s="75" t="n">
        <v>1264.379</v>
      </c>
      <c r="N42" s="75" t="n">
        <v>1191.78</v>
      </c>
    </row>
    <row r="43" ht="18.5" customHeight="1">
      <c r="A43" s="6" t="inlineStr">
        <is>
          <t>(-) PP&amp;E Tangible Neto ($M)</t>
        </is>
      </c>
      <c r="B43" s="29" t="inlineStr">
        <is>
          <t>Property, Plant &amp; Equipment Net</t>
        </is>
      </c>
      <c r="C43" s="74" t="inlineStr">
        <is>
          <t>Activo Físico Duro</t>
        </is>
      </c>
      <c r="D43" s="75" t="n">
        <v>337.75</v>
      </c>
      <c r="E43" s="75" t="n">
        <v>337.782</v>
      </c>
      <c r="F43" s="75" t="n">
        <v>325.599</v>
      </c>
      <c r="G43" s="75" t="n">
        <v>302.122</v>
      </c>
      <c r="H43" s="75" t="n">
        <v>266.679</v>
      </c>
      <c r="I43" s="75" t="n">
        <v>222.449</v>
      </c>
      <c r="J43" s="75" t="n">
        <v>206.21</v>
      </c>
      <c r="K43" s="75" t="n">
        <v>209.037</v>
      </c>
      <c r="L43" s="75" t="n">
        <v>213.796</v>
      </c>
      <c r="M43" s="75" t="n">
        <v>220.162</v>
      </c>
      <c r="N43" s="75" t="n">
        <v>225.531</v>
      </c>
    </row>
    <row r="44" ht="18.5" customHeight="1">
      <c r="A44" s="6" t="inlineStr">
        <is>
          <t>(-) Tesorería y Equivalentes ($M)</t>
        </is>
      </c>
      <c r="B44" s="29" t="inlineStr">
        <is>
          <t>Cash &amp; Cash Equivalents</t>
        </is>
      </c>
      <c r="C44" s="74" t="inlineStr">
        <is>
          <t>Liquidez Inmediata</t>
        </is>
      </c>
      <c r="D44" s="75" t="n">
        <v>1602.589</v>
      </c>
      <c r="E44" s="75" t="n">
        <v>1907.249</v>
      </c>
      <c r="F44" s="75" t="n">
        <v>1889.188</v>
      </c>
      <c r="G44" s="75" t="n">
        <v>1502.051</v>
      </c>
      <c r="H44" s="75" t="n">
        <v>981.795</v>
      </c>
      <c r="I44" s="75" t="n">
        <v>843.527</v>
      </c>
      <c r="J44" s="75" t="n">
        <v>1089.361</v>
      </c>
      <c r="K44" s="75" t="n">
        <v>649.436</v>
      </c>
      <c r="L44" s="75" t="n">
        <v>0</v>
      </c>
      <c r="M44" s="75" t="n">
        <v>429.97</v>
      </c>
      <c r="N44" s="75" t="n">
        <v>291.764</v>
      </c>
    </row>
    <row r="45" ht="18.5" customHeight="1">
      <c r="A45" s="36" t="inlineStr">
        <is>
          <t>(=) Activos Blandos / No Duros ($M)</t>
        </is>
      </c>
      <c r="B45" s="29" t="inlineStr">
        <is>
          <t>Total Assets - (PP&amp;E Neto + Caja)</t>
        </is>
      </c>
      <c r="C45" s="74" t="inlineStr">
        <is>
          <t>Intangibles y Diferidos</t>
        </is>
      </c>
      <c r="D45" s="75" t="n">
        <v>1928.282</v>
      </c>
      <c r="E45" s="75" t="n">
        <v>1442.734</v>
      </c>
      <c r="F45" s="75" t="n">
        <v>1355.465</v>
      </c>
      <c r="G45" s="75" t="n">
        <v>1331.406</v>
      </c>
      <c r="H45" s="75" t="n">
        <v>1307.729</v>
      </c>
      <c r="I45" s="75" t="n">
        <v>1266.274</v>
      </c>
      <c r="J45" s="75" t="n">
        <v>872.134</v>
      </c>
      <c r="K45" s="75" t="n">
        <v>906.645</v>
      </c>
      <c r="L45" s="75" t="n">
        <v>1213.41</v>
      </c>
      <c r="M45" s="75" t="n">
        <v>614.247</v>
      </c>
      <c r="N45" s="75" t="n">
        <v>674.485</v>
      </c>
    </row>
    <row r="46" ht="18.5" customHeight="1">
      <c r="A46" s="36" t="inlineStr">
        <is>
          <t>(=) Ratio de Activos Blandos (%)</t>
        </is>
      </c>
      <c r="B46" s="29" t="inlineStr">
        <is>
          <t>Activos Blandos / Activos Totales</t>
        </is>
      </c>
      <c r="C46" s="74" t="inlineStr">
        <is>
          <t>Normal: &lt; 70% | Alerta: &gt; 75%</t>
        </is>
      </c>
      <c r="D46" s="84" t="n">
        <v>0.498442</v>
      </c>
      <c r="E46" s="84" t="n">
        <v>0.391222</v>
      </c>
      <c r="F46" s="84" t="n">
        <v>0.379655</v>
      </c>
      <c r="G46" s="84" t="n">
        <v>0.424612</v>
      </c>
      <c r="H46" s="84" t="n">
        <v>0.51159</v>
      </c>
      <c r="I46" s="84" t="n">
        <v>0.542941</v>
      </c>
      <c r="J46" s="84" t="n">
        <v>0.402331</v>
      </c>
      <c r="K46" s="84" t="n">
        <v>0.513646</v>
      </c>
      <c r="L46" s="65" t="n">
        <v>0.8502</v>
      </c>
      <c r="M46" s="84" t="n">
        <v>0.485809</v>
      </c>
      <c r="N46" s="84" t="n">
        <v>0.565948</v>
      </c>
    </row>
    <row r="47" ht="18.5" customHeight="1">
      <c r="A47" s="6" t="inlineStr">
        <is>
          <t>Variación Interanual en Ratio (Δ p.p.)</t>
        </is>
      </c>
      <c r="B47" s="29" t="inlineStr">
        <is>
          <t>Ratio_t - Ratio_t-1</t>
        </is>
      </c>
      <c r="C47" s="74" t="inlineStr">
        <is>
          <t>Alerta si &gt; +3.0 p.p.</t>
        </is>
      </c>
      <c r="D47" s="66" t="n">
        <v>0.10722</v>
      </c>
      <c r="E47" s="94" t="n">
        <v>0.011567</v>
      </c>
      <c r="F47" s="94" t="n">
        <v>-0.044957</v>
      </c>
      <c r="G47" s="94" t="n">
        <v>-0.086978</v>
      </c>
      <c r="H47" s="94" t="n">
        <v>-0.031351</v>
      </c>
      <c r="I47" s="66" t="n">
        <v>0.14061</v>
      </c>
      <c r="J47" s="94" t="n">
        <v>-0.111315</v>
      </c>
      <c r="K47" s="94" t="n">
        <v>-0.336554</v>
      </c>
      <c r="L47" s="66" t="n">
        <v>0.36439</v>
      </c>
      <c r="M47" s="94" t="n">
        <v>-0.080138</v>
      </c>
      <c r="N47" s="82" t="inlineStr">
        <is>
          <t>-</t>
        </is>
      </c>
    </row>
    <row r="48" ht="18.5" customHeight="1">
      <c r="A48" s="36" t="inlineStr">
        <is>
          <t>Dictamen de Estructura Patrimonial</t>
        </is>
      </c>
      <c r="B48" s="29" t="inlineStr">
        <is>
          <t>Calidad de Respaldo Contable</t>
        </is>
      </c>
      <c r="C48" s="74" t="inlineStr">
        <is>
          <t>Estructura Sólida</t>
        </is>
      </c>
      <c r="D48" s="119" t="inlineStr">
        <is>
          <t>ESTRUCTURA NORMAL</t>
        </is>
      </c>
      <c r="E48" s="119" t="inlineStr">
        <is>
          <t>ESTRUCTURA NORMAL</t>
        </is>
      </c>
      <c r="F48" s="119" t="inlineStr">
        <is>
          <t>ESTRUCTURA NORMAL</t>
        </is>
      </c>
      <c r="G48" s="119" t="inlineStr">
        <is>
          <t>ESTRUCTURA NORMAL</t>
        </is>
      </c>
      <c r="H48" s="119" t="inlineStr">
        <is>
          <t>ESTRUCTURA NORMAL</t>
        </is>
      </c>
      <c r="I48" s="119" t="inlineStr">
        <is>
          <t>ESTRUCTURA NORMAL</t>
        </is>
      </c>
      <c r="J48" s="119" t="inlineStr">
        <is>
          <t>ESTRUCTURA NORMAL</t>
        </is>
      </c>
      <c r="K48" s="119" t="inlineStr">
        <is>
          <t>ESTRUCTURA NORMAL</t>
        </is>
      </c>
      <c r="L48" s="62" t="inlineStr">
        <is>
          <t>PESO ELEVADO</t>
        </is>
      </c>
      <c r="M48" s="119" t="inlineStr">
        <is>
          <t>ESTRUCTURA NORMAL</t>
        </is>
      </c>
      <c r="N48" s="119" t="inlineStr">
        <is>
          <t>ESTRUCTURA NORMAL</t>
        </is>
      </c>
    </row>
    <row r="49" ht="10" customHeight="1"/>
    <row r="50" ht="22" customHeight="1">
      <c r="A50" s="18" t="inlineStr">
        <is>
          <t>TABLA 3: DESGLOSE FORENSE MONTIER C-SCORE (JAMES MONTIER 2008 - 'COOKING THE BOOKS')</t>
        </is>
      </c>
      <c r="B50" s="19" t="n"/>
      <c r="C50" s="19" t="n"/>
      <c r="D50" s="19" t="n"/>
      <c r="E50" s="19" t="n"/>
      <c r="F50" s="19" t="n"/>
      <c r="G50" s="19" t="n"/>
      <c r="H50" s="19" t="n"/>
      <c r="I50" s="19" t="n"/>
      <c r="J50" s="19" t="n"/>
      <c r="K50" s="19" t="n"/>
      <c r="L50" s="19" t="n"/>
      <c r="M50" s="19" t="n"/>
      <c r="N50" s="19" t="n"/>
    </row>
    <row r="51" ht="25" customHeight="1">
      <c r="A51" s="3" t="inlineStr">
        <is>
          <t>Bandera Forense de Manipulación (C-Score)</t>
        </is>
      </c>
      <c r="B51" s="5" t="inlineStr">
        <is>
          <t>Condición Contable Evaluada</t>
        </is>
      </c>
      <c r="C51" s="5" t="inlineStr">
        <is>
          <t>Justificación Teórica de la Trampa</t>
        </is>
      </c>
      <c r="D51" s="4" t="inlineStr">
        <is>
          <t>LTM</t>
        </is>
      </c>
      <c r="E51" s="5" t="inlineStr">
        <is>
          <t>FY2026</t>
        </is>
      </c>
      <c r="F51" s="5" t="inlineStr">
        <is>
          <t>FY2025</t>
        </is>
      </c>
      <c r="G51" s="5" t="inlineStr">
        <is>
          <t>FY2024</t>
        </is>
      </c>
      <c r="H51" s="5" t="inlineStr">
        <is>
          <t>FY2023</t>
        </is>
      </c>
      <c r="I51" s="5" t="inlineStr">
        <is>
          <t>FY2022</t>
        </is>
      </c>
      <c r="J51" s="5" t="inlineStr">
        <is>
          <t>FY2021</t>
        </is>
      </c>
      <c r="K51" s="5" t="inlineStr">
        <is>
          <t>FY2020</t>
        </is>
      </c>
      <c r="L51" s="5" t="inlineStr">
        <is>
          <t>FY2019</t>
        </is>
      </c>
      <c r="M51" s="5" t="inlineStr">
        <is>
          <t>FY2018</t>
        </is>
      </c>
      <c r="N51" s="5" t="inlineStr">
        <is>
          <t>FY2017</t>
        </is>
      </c>
    </row>
    <row r="52" ht="18.5" customHeight="1">
      <c r="A52" s="6" t="inlineStr">
        <is>
          <t>Bandera 1: Divergencia Beneficio vs. Caja</t>
        </is>
      </c>
      <c r="B52" s="29" t="inlineStr">
        <is>
          <t>Utilidad Neta &gt; Flujo de Caja Operativo (NI &gt; CFO)</t>
        </is>
      </c>
      <c r="C52" s="87" t="inlineStr">
        <is>
          <t>Beneficios no monetizados en caja</t>
        </is>
      </c>
      <c r="D52" s="119" t="inlineStr">
        <is>
          <t>✅ OK</t>
        </is>
      </c>
      <c r="E52" s="119" t="inlineStr">
        <is>
          <t>✅ OK</t>
        </is>
      </c>
      <c r="F52" s="119" t="inlineStr">
        <is>
          <t>✅ OK</t>
        </is>
      </c>
      <c r="G52" s="119" t="inlineStr">
        <is>
          <t>✅ OK</t>
        </is>
      </c>
      <c r="H52" s="119" t="inlineStr">
        <is>
          <t>✅ OK</t>
        </is>
      </c>
      <c r="I52" s="120" t="inlineStr">
        <is>
          <t>🚩 FLAG</t>
        </is>
      </c>
      <c r="J52" s="119" t="inlineStr">
        <is>
          <t>✅ OK</t>
        </is>
      </c>
      <c r="K52" s="119" t="inlineStr">
        <is>
          <t>✅ OK</t>
        </is>
      </c>
      <c r="L52" s="119" t="inlineStr">
        <is>
          <t>✅ OK</t>
        </is>
      </c>
      <c r="M52" s="119" t="inlineStr">
        <is>
          <t>✅ OK</t>
        </is>
      </c>
      <c r="N52" s="52" t="inlineStr">
        <is>
          <t>-</t>
        </is>
      </c>
    </row>
    <row r="53" ht="18.5" customHeight="1">
      <c r="A53" s="6" t="inlineStr">
        <is>
          <t>Bandera 2: Cuentas por Cobrar &gt; Ventas</t>
        </is>
      </c>
      <c r="B53" s="29" t="inlineStr">
        <is>
          <t>Δ Cuentas por Cobrar % &gt; Δ Ventas %</t>
        </is>
      </c>
      <c r="C53" s="87" t="inlineStr">
        <is>
          <t>Facturación acelerada / Channel Stuffing</t>
        </is>
      </c>
      <c r="D53" s="120" t="inlineStr">
        <is>
          <t>🚩 FLAG</t>
        </is>
      </c>
      <c r="E53" s="119" t="inlineStr">
        <is>
          <t>✅ OK</t>
        </is>
      </c>
      <c r="F53" s="119" t="inlineStr">
        <is>
          <t>✅ OK</t>
        </is>
      </c>
      <c r="G53" s="119" t="inlineStr">
        <is>
          <t>✅ OK</t>
        </is>
      </c>
      <c r="H53" s="119" t="inlineStr">
        <is>
          <t>✅ OK</t>
        </is>
      </c>
      <c r="I53" s="120" t="inlineStr">
        <is>
          <t>🚩 FLAG</t>
        </is>
      </c>
      <c r="J53" s="119" t="inlineStr">
        <is>
          <t>✅ OK</t>
        </is>
      </c>
      <c r="K53" s="119" t="inlineStr">
        <is>
          <t>✅ OK</t>
        </is>
      </c>
      <c r="L53" s="120" t="inlineStr">
        <is>
          <t>🚩 FLAG</t>
        </is>
      </c>
      <c r="M53" s="119" t="inlineStr">
        <is>
          <t>✅ OK</t>
        </is>
      </c>
      <c r="N53" s="52" t="inlineStr">
        <is>
          <t>-</t>
        </is>
      </c>
    </row>
    <row r="54" ht="18.5" customHeight="1">
      <c r="A54" s="6" t="inlineStr">
        <is>
          <t>Bandera 3: Inventarios &gt; Coste de Ventas</t>
        </is>
      </c>
      <c r="B54" s="29" t="inlineStr">
        <is>
          <t>Δ Inventarios % &gt; Δ Coste de Ventas %</t>
        </is>
      </c>
      <c r="C54" s="87" t="inlineStr">
        <is>
          <t>Sobreproducción para absorber costes o stock obsoleto</t>
        </is>
      </c>
      <c r="D54" s="120" t="inlineStr">
        <is>
          <t>🚩 FLAG</t>
        </is>
      </c>
      <c r="E54" s="119" t="inlineStr">
        <is>
          <t>✅ OK</t>
        </is>
      </c>
      <c r="F54" s="119" t="inlineStr">
        <is>
          <t>✅ OK</t>
        </is>
      </c>
      <c r="G54" s="119" t="inlineStr">
        <is>
          <t>✅ OK</t>
        </is>
      </c>
      <c r="H54" s="119" t="inlineStr">
        <is>
          <t>✅ OK</t>
        </is>
      </c>
      <c r="I54" s="120" t="inlineStr">
        <is>
          <t>🚩 FLAG</t>
        </is>
      </c>
      <c r="J54" s="119" t="inlineStr">
        <is>
          <t>✅ OK</t>
        </is>
      </c>
      <c r="K54" s="120" t="inlineStr">
        <is>
          <t>🚩 FLAG</t>
        </is>
      </c>
      <c r="L54" s="119" t="inlineStr">
        <is>
          <t>✅ OK</t>
        </is>
      </c>
      <c r="M54" s="119" t="inlineStr">
        <is>
          <t>✅ OK</t>
        </is>
      </c>
      <c r="N54" s="52" t="inlineStr">
        <is>
          <t>-</t>
        </is>
      </c>
    </row>
    <row r="55" ht="18.5" customHeight="1">
      <c r="A55" s="6" t="inlineStr">
        <is>
          <t>Bandera 4: Deterioro del Margen Bruto</t>
        </is>
      </c>
      <c r="B55" s="29" t="inlineStr">
        <is>
          <t>Margen Bruto_t &lt; Margen Bruto_t-1</t>
        </is>
      </c>
      <c r="C55" s="87" t="inlineStr">
        <is>
          <t>Presión en márgenes que incita al maquillaje</t>
        </is>
      </c>
      <c r="D55" s="119" t="inlineStr">
        <is>
          <t>✅ OK</t>
        </is>
      </c>
      <c r="E55" s="119" t="inlineStr">
        <is>
          <t>✅ OK</t>
        </is>
      </c>
      <c r="F55" s="119" t="inlineStr">
        <is>
          <t>✅ OK</t>
        </is>
      </c>
      <c r="G55" s="119" t="inlineStr">
        <is>
          <t>✅ OK</t>
        </is>
      </c>
      <c r="H55" s="120" t="inlineStr">
        <is>
          <t>🚩 FLAG</t>
        </is>
      </c>
      <c r="I55" s="120" t="inlineStr">
        <is>
          <t>🚩 FLAG</t>
        </is>
      </c>
      <c r="J55" s="119" t="inlineStr">
        <is>
          <t>✅ OK</t>
        </is>
      </c>
      <c r="K55" s="119" t="inlineStr">
        <is>
          <t>✅ OK</t>
        </is>
      </c>
      <c r="L55" s="119" t="inlineStr">
        <is>
          <t>✅ OK</t>
        </is>
      </c>
      <c r="M55" s="119" t="inlineStr">
        <is>
          <t>✅ OK</t>
        </is>
      </c>
      <c r="N55" s="52" t="inlineStr">
        <is>
          <t>-</t>
        </is>
      </c>
    </row>
    <row r="56" ht="18.5" customHeight="1">
      <c r="A56" s="6" t="inlineStr">
        <is>
          <t>Bandera 5: Incremento de Activos Blandos</t>
        </is>
      </c>
      <c r="B56" s="29" t="inlineStr">
        <is>
          <t>Ratio Activos Blandos_t &gt; Ratio_t-1</t>
        </is>
      </c>
      <c r="C56" s="87" t="inlineStr">
        <is>
          <t>Capitalización indebida de gastos diferidos</t>
        </is>
      </c>
      <c r="D56" s="120" t="inlineStr">
        <is>
          <t>🚩 FLAG</t>
        </is>
      </c>
      <c r="E56" s="120" t="inlineStr">
        <is>
          <t>🚩 FLAG</t>
        </is>
      </c>
      <c r="F56" s="119" t="inlineStr">
        <is>
          <t>✅ OK</t>
        </is>
      </c>
      <c r="G56" s="119" t="inlineStr">
        <is>
          <t>✅ OK</t>
        </is>
      </c>
      <c r="H56" s="119" t="inlineStr">
        <is>
          <t>✅ OK</t>
        </is>
      </c>
      <c r="I56" s="120" t="inlineStr">
        <is>
          <t>🚩 FLAG</t>
        </is>
      </c>
      <c r="J56" s="119" t="inlineStr">
        <is>
          <t>✅ OK</t>
        </is>
      </c>
      <c r="K56" s="119" t="inlineStr">
        <is>
          <t>✅ OK</t>
        </is>
      </c>
      <c r="L56" s="120" t="inlineStr">
        <is>
          <t>🚩 FLAG</t>
        </is>
      </c>
      <c r="M56" s="119" t="inlineStr">
        <is>
          <t>✅ OK</t>
        </is>
      </c>
      <c r="N56" s="52" t="inlineStr">
        <is>
          <t>-</t>
        </is>
      </c>
    </row>
    <row r="57" ht="18.5" customHeight="1">
      <c r="A57" s="6" t="inlineStr">
        <is>
          <t>Bandera 6: Reducción de Tasa de Depreciación</t>
        </is>
      </c>
      <c r="B57" s="29" t="inlineStr">
        <is>
          <t>Tasa Depreciación_t &lt; Tasa Depreciación_t-1</t>
        </is>
      </c>
      <c r="C57" s="87" t="inlineStr">
        <is>
          <t>Estiramiento de vidas útiles para inflar utilidad</t>
        </is>
      </c>
      <c r="D57" s="119" t="inlineStr">
        <is>
          <t>✅ OK</t>
        </is>
      </c>
      <c r="E57" s="119" t="inlineStr">
        <is>
          <t>✅ OK</t>
        </is>
      </c>
      <c r="F57" s="119" t="inlineStr">
        <is>
          <t>✅ OK</t>
        </is>
      </c>
      <c r="G57" s="119" t="inlineStr">
        <is>
          <t>✅ OK</t>
        </is>
      </c>
      <c r="H57" s="120" t="inlineStr">
        <is>
          <t>🚩 FLAG</t>
        </is>
      </c>
      <c r="I57" s="119" t="inlineStr">
        <is>
          <t>✅ OK</t>
        </is>
      </c>
      <c r="J57" s="119" t="inlineStr">
        <is>
          <t>✅ OK</t>
        </is>
      </c>
      <c r="K57" s="120" t="inlineStr">
        <is>
          <t>🚩 FLAG</t>
        </is>
      </c>
      <c r="L57" s="120" t="inlineStr">
        <is>
          <t>🚩 FLAG</t>
        </is>
      </c>
      <c r="M57" s="120" t="inlineStr">
        <is>
          <t>🚩 FLAG</t>
        </is>
      </c>
      <c r="N57" s="52" t="inlineStr">
        <is>
          <t>-</t>
        </is>
      </c>
    </row>
    <row r="58" ht="22" customHeight="1">
      <c r="A58" s="88" t="inlineStr">
        <is>
          <t>(=) MONTIER C-SCORE TOTAL (0 a 6 Puntos)</t>
        </is>
      </c>
      <c r="B58" s="88" t="inlineStr">
        <is>
          <t>Suma de Banderas Activas (0 a 6)</t>
        </is>
      </c>
      <c r="C58" s="89" t="inlineStr">
        <is>
          <t>0-1: Bajo Riesgo | 2-3: Moderado | 4-6: Alto Riesgo</t>
        </is>
      </c>
      <c r="D58" s="90" t="inlineStr">
        <is>
          <t>3/6</t>
        </is>
      </c>
      <c r="E58" s="91" t="inlineStr">
        <is>
          <t>1/6</t>
        </is>
      </c>
      <c r="F58" s="91" t="inlineStr">
        <is>
          <t>0/6</t>
        </is>
      </c>
      <c r="G58" s="91" t="inlineStr">
        <is>
          <t>0/6</t>
        </is>
      </c>
      <c r="H58" s="90" t="inlineStr">
        <is>
          <t>2/6</t>
        </is>
      </c>
      <c r="I58" s="92" t="inlineStr">
        <is>
          <t>5/6</t>
        </is>
      </c>
      <c r="J58" s="91" t="inlineStr">
        <is>
          <t>0/6</t>
        </is>
      </c>
      <c r="K58" s="90" t="inlineStr">
        <is>
          <t>2/6</t>
        </is>
      </c>
      <c r="L58" s="90" t="inlineStr">
        <is>
          <t>3/6</t>
        </is>
      </c>
      <c r="M58" s="91" t="inlineStr">
        <is>
          <t>1/6</t>
        </is>
      </c>
      <c r="N58" s="89" t="inlineStr">
        <is>
          <t>-</t>
        </is>
      </c>
    </row>
    <row r="59" ht="22" customHeight="1">
      <c r="A59" s="36" t="inlineStr">
        <is>
          <t>Nivel de Riesgo &amp; Dictamen C-Score</t>
        </is>
      </c>
      <c r="B59" s="29" t="inlineStr">
        <is>
          <t>Clasificación Institucional de Riesgo Forense</t>
        </is>
      </c>
      <c r="C59" s="74" t="inlineStr">
        <is>
          <t>Probabilidad Empírica de Manipulación</t>
        </is>
      </c>
      <c r="D59" s="62" t="inlineStr">
        <is>
          <t>RIESGO MODERADO / ALERTA PREVENTIVA</t>
        </is>
      </c>
      <c r="E59" s="119" t="inlineStr">
        <is>
          <t>RIESGO MUY BAJO / LIBROS LIMPIOS</t>
        </is>
      </c>
      <c r="F59" s="119" t="inlineStr">
        <is>
          <t>RIESGO MUY BAJO / LIBROS LIMPIOS</t>
        </is>
      </c>
      <c r="G59" s="119" t="inlineStr">
        <is>
          <t>RIESGO MUY BAJO / LIBROS LIMPIOS</t>
        </is>
      </c>
      <c r="H59" s="62" t="inlineStr">
        <is>
          <t>RIESGO MODERADO / ALERTA PREVENTIVA</t>
        </is>
      </c>
      <c r="I59" s="120" t="inlineStr">
        <is>
          <t>RIESGO ALTO / ALERTA FORENSE</t>
        </is>
      </c>
      <c r="J59" s="119" t="inlineStr">
        <is>
          <t>RIESGO MUY BAJO / LIBROS LIMPIOS</t>
        </is>
      </c>
      <c r="K59" s="62" t="inlineStr">
        <is>
          <t>RIESGO MODERADO / ALERTA PREVENTIVA</t>
        </is>
      </c>
      <c r="L59" s="62" t="inlineStr">
        <is>
          <t>RIESGO MODERADO / ALERTA PREVENTIVA</t>
        </is>
      </c>
      <c r="M59" s="119" t="inlineStr">
        <is>
          <t>RIESGO MUY BAJO / LIBROS LIMPIOS</t>
        </is>
      </c>
      <c r="N59" s="74" t="inlineStr">
        <is>
          <t>DATOS INSUFICIENTES (SIN T-1)</t>
        </is>
      </c>
    </row>
  </sheetData>
  <mergeCells count="2">
    <mergeCell ref="A17:N17"/>
    <mergeCell ref="B5:N5"/>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N57"/>
  <sheetViews>
    <sheetView showGridLines="1" workbookViewId="0">
      <pane xSplit="3" ySplit="7" topLeftCell="D8" activePane="bottomRight" state="frozen"/>
      <selection pane="top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s>
  <sheetData>
    <row r="1" ht="30" customHeight="1">
      <c r="A1" s="1" t="inlineStr">
        <is>
          <t>DECKERS OUTDOOR CORP (DECK) - Solvencia, Deuda &amp; Estrés Financiero (Credit Risk Engine)</t>
        </is>
      </c>
    </row>
    <row r="2" ht="18" customHeight="1">
      <c r="A2" s="2" t="inlineStr">
        <is>
          <t>Análisis Institucional: Capacidad de Pago contra Flujos de Caja, Cobertura de Intereses, Liquidez y Quiebra (Altman Z'' &amp; Damodaran)</t>
        </is>
      </c>
    </row>
    <row r="3" ht="8" customHeight="1"/>
    <row r="4" ht="22" customHeight="1">
      <c r="A4" s="18" t="inlineStr">
        <is>
          <t>DICTAMEN GLOBAL DE SOLVENCIA</t>
        </is>
      </c>
      <c r="B4" s="26" t="inlineStr">
        <is>
          <t>Período: LTM</t>
        </is>
      </c>
      <c r="C4" s="26" t="inlineStr">
        <is>
          <t>Rating Sintético: AAA [MÁXIMA CALIDAD CREDITICIA (LIBRE DE DEUDA)]</t>
        </is>
      </c>
      <c r="D4" s="26" t="inlineStr">
        <is>
          <t>Altman Z'': 8.59 [ZONA SEGURA]</t>
        </is>
      </c>
      <c r="E4" s="26" t="inlineStr">
        <is>
          <t>Estado: MÁXIMA SOLVENCIA INSTITUCIONAL</t>
        </is>
      </c>
      <c r="F4" s="19" t="n"/>
      <c r="G4" s="19" t="n"/>
      <c r="H4" s="19" t="n"/>
      <c r="I4" s="19" t="n"/>
      <c r="J4" s="19" t="n"/>
      <c r="K4" s="19" t="n"/>
      <c r="L4" s="19" t="n"/>
      <c r="M4" s="19" t="n"/>
      <c r="N4" s="19" t="n"/>
    </row>
    <row r="5" ht="56" customHeight="1">
      <c r="A5" s="60" t="inlineStr">
        <is>
          <t>VEREDICTO SOLVENCIA:</t>
        </is>
      </c>
      <c r="B5" s="97" t="inlineStr">
        <is>
          <t>FORTALEZA FINANCIERA INQUEBRANTABLE (GRADO INSTITUCIONAL AAA/AA): Apalancamiento óptimo (CAJA NETA), cobertura de intereses de INFINITA (SIN DEUDA) y Altman Z''-Score de 8.59 en Zona Segura. Cero estrés crediticio, con capacidad excepcional de financiación en cualquier ciclo macroeconómico.</t>
        </is>
      </c>
      <c r="C5" s="70" t="n"/>
      <c r="D5" s="70" t="n"/>
      <c r="E5" s="70" t="n"/>
      <c r="F5" s="70" t="n"/>
      <c r="G5" s="70" t="n"/>
      <c r="H5" s="70" t="n"/>
      <c r="I5" s="70" t="n"/>
      <c r="J5" s="70" t="n"/>
      <c r="K5" s="70" t="n"/>
      <c r="L5" s="70" t="n"/>
      <c r="M5" s="70" t="n"/>
      <c r="N5" s="70" t="n"/>
    </row>
    <row r="6" ht="10" customHeight="1"/>
    <row r="7" ht="22" customHeight="1">
      <c r="A7" s="18" t="inlineStr">
        <is>
          <t>TABLA 1: APALANCAMIENTO Y CAPACIDAD DE AMORTIZACIÓN (CASH FLOW LEVERAGE)</t>
        </is>
      </c>
      <c r="B7" s="19" t="n"/>
      <c r="C7" s="19" t="n"/>
      <c r="D7" s="19" t="n"/>
      <c r="E7" s="19" t="n"/>
      <c r="F7" s="19" t="n"/>
      <c r="G7" s="19" t="n"/>
      <c r="H7" s="19" t="n"/>
      <c r="I7" s="19" t="n"/>
      <c r="J7" s="19" t="n"/>
      <c r="K7" s="19" t="n"/>
      <c r="L7" s="19" t="n"/>
      <c r="M7" s="19" t="n"/>
      <c r="N7" s="19" t="n"/>
    </row>
    <row r="8" ht="25" customHeight="1">
      <c r="A8" s="3" t="inlineStr">
        <is>
          <t>Componente / Métrica de Apalancamiento</t>
        </is>
      </c>
      <c r="B8" s="3" t="inlineStr">
        <is>
          <t>Definición / Fórmula Contable</t>
        </is>
      </c>
      <c r="C8" s="5" t="inlineStr">
        <is>
          <t>Zona Óptima / Umbral Crediticio</t>
        </is>
      </c>
      <c r="D8" s="4" t="inlineStr">
        <is>
          <t>LTM</t>
        </is>
      </c>
      <c r="E8" s="5" t="inlineStr">
        <is>
          <t>FY2026</t>
        </is>
      </c>
      <c r="F8" s="5" t="inlineStr">
        <is>
          <t>FY2025</t>
        </is>
      </c>
      <c r="G8" s="5" t="inlineStr">
        <is>
          <t>FY2024</t>
        </is>
      </c>
      <c r="H8" s="5" t="inlineStr">
        <is>
          <t>FY2023</t>
        </is>
      </c>
      <c r="I8" s="5" t="inlineStr">
        <is>
          <t>FY2022</t>
        </is>
      </c>
      <c r="J8" s="5" t="inlineStr">
        <is>
          <t>FY2021</t>
        </is>
      </c>
      <c r="K8" s="5" t="inlineStr">
        <is>
          <t>FY2020</t>
        </is>
      </c>
      <c r="L8" s="5" t="inlineStr">
        <is>
          <t>FY2019</t>
        </is>
      </c>
      <c r="M8" s="5" t="inlineStr">
        <is>
          <t>FY2018</t>
        </is>
      </c>
      <c r="N8" s="5" t="inlineStr">
        <is>
          <t>FY2017</t>
        </is>
      </c>
    </row>
    <row r="9" ht="18.5" customHeight="1">
      <c r="A9" s="6" t="inlineStr">
        <is>
          <t>(+) Deuda Financiera Total ($M)</t>
        </is>
      </c>
      <c r="B9" s="29" t="inlineStr">
        <is>
          <t>Short-Term Debt + Long-Term Debt</t>
        </is>
      </c>
      <c r="C9" s="74" t="inlineStr">
        <is>
          <t>Referencia Balance</t>
        </is>
      </c>
      <c r="D9" s="41" t="n">
        <v>0</v>
      </c>
      <c r="E9" s="41" t="n">
        <v>0</v>
      </c>
      <c r="F9" s="41" t="n">
        <v>0</v>
      </c>
      <c r="G9" s="41" t="n">
        <v>0</v>
      </c>
      <c r="H9" s="41" t="n">
        <v>0</v>
      </c>
      <c r="I9" s="41" t="n">
        <v>0</v>
      </c>
      <c r="J9" s="41" t="n">
        <v>0</v>
      </c>
      <c r="K9" s="41" t="n">
        <v>0</v>
      </c>
      <c r="L9" s="41" t="n">
        <v>0</v>
      </c>
      <c r="M9" s="41" t="n">
        <v>0</v>
      </c>
      <c r="N9" s="41" t="n">
        <v>0</v>
      </c>
    </row>
    <row r="10" ht="18.5" customHeight="1">
      <c r="A10" s="6" t="inlineStr">
        <is>
          <t>(-) Tesorería y Equivalentes ($M)</t>
        </is>
      </c>
      <c r="B10" s="29" t="inlineStr">
        <is>
          <t>Cash &amp; Cash Equivalents</t>
        </is>
      </c>
      <c r="C10" s="74" t="inlineStr">
        <is>
          <t>Liquidez Inmediata</t>
        </is>
      </c>
      <c r="D10" s="41" t="n">
        <v>1602.6</v>
      </c>
      <c r="E10" s="41" t="n">
        <v>1907.2</v>
      </c>
      <c r="F10" s="41" t="n">
        <v>1889.2</v>
      </c>
      <c r="G10" s="41" t="n">
        <v>1502.1</v>
      </c>
      <c r="H10" s="41" t="n">
        <v>981.8</v>
      </c>
      <c r="I10" s="41" t="n">
        <v>843.5</v>
      </c>
      <c r="J10" s="41" t="n">
        <v>1089.4</v>
      </c>
      <c r="K10" s="41" t="n">
        <v>649.4</v>
      </c>
      <c r="L10" s="41" t="n">
        <v>0</v>
      </c>
      <c r="M10" s="41" t="n">
        <v>430</v>
      </c>
      <c r="N10" s="41" t="n">
        <v>291.8</v>
      </c>
    </row>
    <row r="11" ht="18.5" customHeight="1">
      <c r="A11" s="12" t="inlineStr">
        <is>
          <t>(=) Deuda Financiera Neta ($M)</t>
        </is>
      </c>
      <c r="B11" s="98" t="inlineStr">
        <is>
          <t>Deuda Total - Tesorería</t>
        </is>
      </c>
      <c r="C11" s="99" t="inlineStr">
        <is>
          <t>Caja Neta &lt; $0 (Deseable)</t>
        </is>
      </c>
      <c r="D11" s="100" t="n">
        <v>-1602.6</v>
      </c>
      <c r="E11" s="100" t="n">
        <v>-1907.2</v>
      </c>
      <c r="F11" s="100" t="n">
        <v>-1889.2</v>
      </c>
      <c r="G11" s="100" t="n">
        <v>-1502.1</v>
      </c>
      <c r="H11" s="100" t="n">
        <v>-981.8</v>
      </c>
      <c r="I11" s="100" t="n">
        <v>-843.5</v>
      </c>
      <c r="J11" s="100" t="n">
        <v>-1089.4</v>
      </c>
      <c r="K11" s="100" t="n">
        <v>-649.4</v>
      </c>
      <c r="L11" s="100" t="n">
        <v>0</v>
      </c>
      <c r="M11" s="100" t="n">
        <v>-430</v>
      </c>
      <c r="N11" s="100" t="n">
        <v>-291.8</v>
      </c>
    </row>
    <row r="12" ht="18.5" customHeight="1">
      <c r="A12" s="6" t="inlineStr">
        <is>
          <t>(+) Beneficio Operativo EBIT ($M)</t>
        </is>
      </c>
      <c r="B12" s="29" t="inlineStr">
        <is>
          <t>Operating Income Reportado</t>
        </is>
      </c>
      <c r="C12" s="74" t="inlineStr">
        <is>
          <t>Capacidad Operativa</t>
        </is>
      </c>
      <c r="D12" s="41" t="n">
        <v>1252.9</v>
      </c>
      <c r="E12" s="41" t="n">
        <v>1262.9</v>
      </c>
      <c r="F12" s="41" t="n">
        <v>1179.1</v>
      </c>
      <c r="G12" s="41" t="n">
        <v>927.5</v>
      </c>
      <c r="H12" s="41" t="n">
        <v>652.8</v>
      </c>
      <c r="I12" s="41" t="n">
        <v>564.7</v>
      </c>
      <c r="J12" s="41" t="n">
        <v>504.2</v>
      </c>
      <c r="K12" s="41" t="n">
        <v>338.1</v>
      </c>
      <c r="L12" s="41" t="n">
        <v>327.3</v>
      </c>
      <c r="M12" s="41" t="n">
        <v>222.6</v>
      </c>
      <c r="N12" s="41" t="n">
        <v>-1.9</v>
      </c>
    </row>
    <row r="13" ht="18.5" customHeight="1">
      <c r="A13" s="6" t="inlineStr">
        <is>
          <t>(+) Depreciación y Amortización ($M)</t>
        </is>
      </c>
      <c r="B13" s="29" t="inlineStr">
        <is>
          <t>D&amp;A en Estado de Flujos</t>
        </is>
      </c>
      <c r="C13" s="74" t="inlineStr">
        <is>
          <t>Gasto No Monetario</t>
        </is>
      </c>
      <c r="D13" s="41" t="n">
        <v>74.09999999999999</v>
      </c>
      <c r="E13" s="41" t="n">
        <v>75.8</v>
      </c>
      <c r="F13" s="41" t="n">
        <v>69.40000000000001</v>
      </c>
      <c r="G13" s="41" t="n">
        <v>57.6</v>
      </c>
      <c r="H13" s="41" t="n">
        <v>47.9</v>
      </c>
      <c r="I13" s="41" t="n">
        <v>42.9</v>
      </c>
      <c r="J13" s="41" t="n">
        <v>40.5</v>
      </c>
      <c r="K13" s="41" t="n">
        <v>38.9</v>
      </c>
      <c r="L13" s="41" t="n">
        <v>44.9</v>
      </c>
      <c r="M13" s="41" t="n">
        <v>48.6</v>
      </c>
      <c r="N13" s="41" t="n">
        <v>52.6</v>
      </c>
    </row>
    <row r="14" ht="18.5" customHeight="1">
      <c r="A14" s="12" t="inlineStr">
        <is>
          <t>(=) EBITDA ($M) [Generación Bruta]</t>
        </is>
      </c>
      <c r="B14" s="98" t="inlineStr">
        <is>
          <t>EBIT + Depreciación y Amortización</t>
        </is>
      </c>
      <c r="C14" s="99" t="inlineStr">
        <is>
          <t>Base Operativa Bruta</t>
        </is>
      </c>
      <c r="D14" s="100" t="n">
        <v>1327</v>
      </c>
      <c r="E14" s="100" t="n">
        <v>1338.7</v>
      </c>
      <c r="F14" s="100" t="n">
        <v>1248.4</v>
      </c>
      <c r="G14" s="100" t="n">
        <v>985.1</v>
      </c>
      <c r="H14" s="100" t="n">
        <v>700.6</v>
      </c>
      <c r="I14" s="100" t="n">
        <v>607.6</v>
      </c>
      <c r="J14" s="100" t="n">
        <v>544.7</v>
      </c>
      <c r="K14" s="100" t="n">
        <v>377</v>
      </c>
      <c r="L14" s="100" t="n">
        <v>372.3</v>
      </c>
      <c r="M14" s="100" t="n">
        <v>271.2</v>
      </c>
      <c r="N14" s="100" t="n">
        <v>50.7</v>
      </c>
    </row>
    <row r="15" ht="18.5" customHeight="1">
      <c r="A15" s="88" t="inlineStr">
        <is>
          <t>(=) Deuda Neta / EBITDA (Años de EBITDA)</t>
        </is>
      </c>
      <c r="B15" s="101" t="inlineStr">
        <is>
          <t>Deuda Neta / EBITDA</t>
        </is>
      </c>
      <c r="C15" s="102" t="inlineStr">
        <is>
          <t>Óptimo: &lt; 1.5x | Alerta: &gt; 3.5x</t>
        </is>
      </c>
      <c r="D15" s="91" t="inlineStr">
        <is>
          <t>CAJA NETA</t>
        </is>
      </c>
      <c r="E15" s="91" t="inlineStr">
        <is>
          <t>CAJA NETA</t>
        </is>
      </c>
      <c r="F15" s="91" t="inlineStr">
        <is>
          <t>CAJA NETA</t>
        </is>
      </c>
      <c r="G15" s="91" t="inlineStr">
        <is>
          <t>CAJA NETA</t>
        </is>
      </c>
      <c r="H15" s="91" t="inlineStr">
        <is>
          <t>CAJA NETA</t>
        </is>
      </c>
      <c r="I15" s="91" t="inlineStr">
        <is>
          <t>CAJA NETA</t>
        </is>
      </c>
      <c r="J15" s="91" t="inlineStr">
        <is>
          <t>CAJA NETA</t>
        </is>
      </c>
      <c r="K15" s="91" t="inlineStr">
        <is>
          <t>CAJA NETA</t>
        </is>
      </c>
      <c r="L15" s="91" t="inlineStr">
        <is>
          <t>CAJA NETA</t>
        </is>
      </c>
      <c r="M15" s="91" t="inlineStr">
        <is>
          <t>CAJA NETA</t>
        </is>
      </c>
      <c r="N15" s="91" t="inlineStr">
        <is>
          <t>CAJA NETA</t>
        </is>
      </c>
    </row>
    <row r="16" ht="18.5" customHeight="1">
      <c r="A16" s="6" t="inlineStr">
        <is>
          <t>(+) Flujo de Caja Libre FCF ($M)</t>
        </is>
      </c>
      <c r="B16" s="29" t="inlineStr">
        <is>
          <t>Flujo Operativo (CFO) - CapEx</t>
        </is>
      </c>
      <c r="C16" s="74" t="inlineStr">
        <is>
          <t>Caja de Libre Disposición</t>
        </is>
      </c>
      <c r="D16" s="41" t="n">
        <v>1117.8</v>
      </c>
      <c r="E16" s="41" t="n">
        <v>1097.3</v>
      </c>
      <c r="F16" s="41" t="n">
        <v>958.4</v>
      </c>
      <c r="G16" s="41" t="n">
        <v>943.8</v>
      </c>
      <c r="H16" s="41" t="n">
        <v>456.4</v>
      </c>
      <c r="I16" s="41" t="n">
        <v>121.3</v>
      </c>
      <c r="J16" s="41" t="n">
        <v>564</v>
      </c>
      <c r="K16" s="41" t="n">
        <v>253.9</v>
      </c>
      <c r="L16" s="41" t="n">
        <v>330.4</v>
      </c>
      <c r="M16" s="41" t="n">
        <v>292.5</v>
      </c>
      <c r="N16" s="41" t="n">
        <v>125.2</v>
      </c>
    </row>
    <row r="17" ht="18.5" customHeight="1">
      <c r="A17" s="88" t="inlineStr">
        <is>
          <t>(=) Deuda Neta / FCF (Años de Caja Libre)</t>
        </is>
      </c>
      <c r="B17" s="101" t="inlineStr">
        <is>
          <t>Deuda Neta / FCF</t>
        </is>
      </c>
      <c r="C17" s="102" t="inlineStr">
        <is>
          <t>Óptimo: &lt; 2.0x | Alerta: &gt; 4.0x</t>
        </is>
      </c>
      <c r="D17" s="91" t="inlineStr">
        <is>
          <t>CAJA NETA</t>
        </is>
      </c>
      <c r="E17" s="91" t="inlineStr">
        <is>
          <t>CAJA NETA</t>
        </is>
      </c>
      <c r="F17" s="91" t="inlineStr">
        <is>
          <t>CAJA NETA</t>
        </is>
      </c>
      <c r="G17" s="91" t="inlineStr">
        <is>
          <t>CAJA NETA</t>
        </is>
      </c>
      <c r="H17" s="91" t="inlineStr">
        <is>
          <t>CAJA NETA</t>
        </is>
      </c>
      <c r="I17" s="91" t="inlineStr">
        <is>
          <t>CAJA NETA</t>
        </is>
      </c>
      <c r="J17" s="91" t="inlineStr">
        <is>
          <t>CAJA NETA</t>
        </is>
      </c>
      <c r="K17" s="91" t="inlineStr">
        <is>
          <t>CAJA NETA</t>
        </is>
      </c>
      <c r="L17" s="91" t="inlineStr">
        <is>
          <t>CAJA NETA</t>
        </is>
      </c>
      <c r="M17" s="91" t="inlineStr">
        <is>
          <t>CAJA NETA</t>
        </is>
      </c>
      <c r="N17" s="91" t="inlineStr">
        <is>
          <t>CAJA NETA</t>
        </is>
      </c>
    </row>
    <row r="18" ht="18.5" customHeight="1">
      <c r="A18" s="6" t="inlineStr">
        <is>
          <t>Deuda Total / Flujo de Caja Operativo (x)</t>
        </is>
      </c>
      <c r="B18" s="29" t="inlineStr">
        <is>
          <t>Deuda Total / CFO</t>
        </is>
      </c>
      <c r="C18" s="74" t="inlineStr">
        <is>
          <t>Óptimo: &lt; 2.0x | Alerta: &gt; 4.0x</t>
        </is>
      </c>
      <c r="D18" s="21" t="n">
        <v>0</v>
      </c>
      <c r="E18" s="21" t="n">
        <v>0</v>
      </c>
      <c r="F18" s="21" t="n">
        <v>0</v>
      </c>
      <c r="G18" s="21" t="n">
        <v>0</v>
      </c>
      <c r="H18" s="21" t="n">
        <v>0</v>
      </c>
      <c r="I18" s="21" t="n">
        <v>0</v>
      </c>
      <c r="J18" s="21" t="n">
        <v>0</v>
      </c>
      <c r="K18" s="21" t="n">
        <v>0</v>
      </c>
      <c r="L18" s="21" t="n">
        <v>0</v>
      </c>
      <c r="M18" s="21" t="n">
        <v>0</v>
      </c>
      <c r="N18" s="21" t="n">
        <v>0</v>
      </c>
    </row>
    <row r="19" ht="22" customHeight="1">
      <c r="A19" s="36" t="inlineStr">
        <is>
          <t>Diagnóstico de Capacidad de Repago</t>
        </is>
      </c>
      <c r="B19" s="29" t="inlineStr">
        <is>
          <t>Evaluación de Amortización contra Caja</t>
        </is>
      </c>
      <c r="C19" s="74" t="inlineStr">
        <is>
          <t>Sostenibilidad de Deuda</t>
        </is>
      </c>
      <c r="D19" s="119" t="inlineStr">
        <is>
          <t>CAJA NETA</t>
        </is>
      </c>
      <c r="E19" s="119" t="inlineStr">
        <is>
          <t>CAJA NETA</t>
        </is>
      </c>
      <c r="F19" s="119" t="inlineStr">
        <is>
          <t>CAJA NETA</t>
        </is>
      </c>
      <c r="G19" s="119" t="inlineStr">
        <is>
          <t>CAJA NETA</t>
        </is>
      </c>
      <c r="H19" s="119" t="inlineStr">
        <is>
          <t>CAJA NETA</t>
        </is>
      </c>
      <c r="I19" s="119" t="inlineStr">
        <is>
          <t>CAJA NETA</t>
        </is>
      </c>
      <c r="J19" s="119" t="inlineStr">
        <is>
          <t>CAJA NETA</t>
        </is>
      </c>
      <c r="K19" s="119" t="inlineStr">
        <is>
          <t>CAJA NETA</t>
        </is>
      </c>
      <c r="L19" s="119" t="inlineStr">
        <is>
          <t>CAJA NETA</t>
        </is>
      </c>
      <c r="M19" s="119" t="inlineStr">
        <is>
          <t>CAJA NETA</t>
        </is>
      </c>
      <c r="N19" s="119" t="inlineStr">
        <is>
          <t>CAJA NETA</t>
        </is>
      </c>
    </row>
    <row r="20" ht="40" customHeight="1">
      <c r="A20" s="111" t="inlineStr">
        <is>
          <t>Diagnóstico de Apalancamiento (LTM): Estructura ultra sólida sin deuda neta (-1,602.6$M). La liquidez disponible excede a la deuda total.</t>
        </is>
      </c>
      <c r="B20" s="70" t="n"/>
      <c r="C20" s="70" t="n"/>
      <c r="D20" s="70" t="n"/>
      <c r="E20" s="70" t="n"/>
      <c r="F20" s="70" t="n"/>
      <c r="G20" s="70" t="n"/>
      <c r="H20" s="70" t="n"/>
      <c r="I20" s="70" t="n"/>
      <c r="J20" s="70" t="n"/>
      <c r="K20" s="70" t="n"/>
      <c r="L20" s="70" t="n"/>
      <c r="M20" s="70" t="n"/>
      <c r="N20" s="70" t="n"/>
    </row>
    <row r="21" ht="10" customHeight="1"/>
    <row r="22" ht="22" customHeight="1">
      <c r="A22" s="18" t="inlineStr">
        <is>
          <t>TABLA 2: COBERTURA DE CARGA FINANCIERA Y SERVICIO DE LA DEUDA (INTEREST COVERAGE)</t>
        </is>
      </c>
      <c r="B22" s="19" t="n"/>
      <c r="C22" s="19" t="n"/>
      <c r="D22" s="19" t="n"/>
      <c r="E22" s="19" t="n"/>
      <c r="F22" s="19" t="n"/>
      <c r="G22" s="19" t="n"/>
      <c r="H22" s="19" t="n"/>
      <c r="I22" s="19" t="n"/>
      <c r="J22" s="19" t="n"/>
      <c r="K22" s="19" t="n"/>
      <c r="L22" s="19" t="n"/>
      <c r="M22" s="19" t="n"/>
      <c r="N22" s="19" t="n"/>
    </row>
    <row r="23" ht="25" customHeight="1">
      <c r="A23" s="3" t="inlineStr">
        <is>
          <t>Ratio de Cobertura / Carga Financiera</t>
        </is>
      </c>
      <c r="B23" s="3" t="inlineStr">
        <is>
          <t>Definición / Fórmula de Cobertura</t>
        </is>
      </c>
      <c r="C23" s="5" t="inlineStr">
        <is>
          <t>Umbral de Solvencia Operativa</t>
        </is>
      </c>
      <c r="D23" s="4" t="inlineStr">
        <is>
          <t>LTM</t>
        </is>
      </c>
      <c r="E23" s="5" t="inlineStr">
        <is>
          <t>FY2026</t>
        </is>
      </c>
      <c r="F23" s="5" t="inlineStr">
        <is>
          <t>FY2025</t>
        </is>
      </c>
      <c r="G23" s="5" t="inlineStr">
        <is>
          <t>FY2024</t>
        </is>
      </c>
      <c r="H23" s="5" t="inlineStr">
        <is>
          <t>FY2023</t>
        </is>
      </c>
      <c r="I23" s="5" t="inlineStr">
        <is>
          <t>FY2022</t>
        </is>
      </c>
      <c r="J23" s="5" t="inlineStr">
        <is>
          <t>FY2021</t>
        </is>
      </c>
      <c r="K23" s="5" t="inlineStr">
        <is>
          <t>FY2020</t>
        </is>
      </c>
      <c r="L23" s="5" t="inlineStr">
        <is>
          <t>FY2019</t>
        </is>
      </c>
      <c r="M23" s="5" t="inlineStr">
        <is>
          <t>FY2018</t>
        </is>
      </c>
      <c r="N23" s="5" t="inlineStr">
        <is>
          <t>FY2017</t>
        </is>
      </c>
    </row>
    <row r="24" ht="18.5" customHeight="1">
      <c r="A24" s="6" t="inlineStr">
        <is>
          <t>(+) Utilidad Operativa EBIT ($M) [Operating Income]</t>
        </is>
      </c>
      <c r="B24" s="29" t="inlineStr">
        <is>
          <t>Resultado de Explotación Reportado</t>
        </is>
      </c>
      <c r="C24" s="74" t="inlineStr">
        <is>
          <t>Capacidad Operativa</t>
        </is>
      </c>
      <c r="D24" s="75" t="n">
        <v>1252.9</v>
      </c>
      <c r="E24" s="75" t="n">
        <v>1262.9</v>
      </c>
      <c r="F24" s="75" t="n">
        <v>1179.1</v>
      </c>
      <c r="G24" s="75" t="n">
        <v>927.5</v>
      </c>
      <c r="H24" s="75" t="n">
        <v>652.8</v>
      </c>
      <c r="I24" s="75" t="n">
        <v>564.7</v>
      </c>
      <c r="J24" s="75" t="n">
        <v>504.2</v>
      </c>
      <c r="K24" s="75" t="n">
        <v>338.1</v>
      </c>
      <c r="L24" s="75" t="n">
        <v>327.3</v>
      </c>
      <c r="M24" s="75" t="n">
        <v>222.6</v>
      </c>
      <c r="N24" s="75" t="n">
        <v>-1.9</v>
      </c>
    </row>
    <row r="25" ht="18.5" customHeight="1">
      <c r="A25" s="6" t="inlineStr">
        <is>
          <t>(-) Flujo de Caja Operativo CFO ($M) [Cash Flow]</t>
        </is>
      </c>
      <c r="B25" s="29" t="inlineStr">
        <is>
          <t>Generación de Caja Operativa Real</t>
        </is>
      </c>
      <c r="C25" s="74" t="inlineStr">
        <is>
          <t>Capacidad Líquida</t>
        </is>
      </c>
      <c r="D25" s="82" t="inlineStr">
        <is>
          <t>-</t>
        </is>
      </c>
      <c r="E25" s="82" t="inlineStr">
        <is>
          <t>-</t>
        </is>
      </c>
      <c r="F25" s="82" t="inlineStr">
        <is>
          <t>-</t>
        </is>
      </c>
      <c r="G25" s="82" t="inlineStr">
        <is>
          <t>-</t>
        </is>
      </c>
      <c r="H25" s="82" t="inlineStr">
        <is>
          <t>-</t>
        </is>
      </c>
      <c r="I25" s="82" t="inlineStr">
        <is>
          <t>-</t>
        </is>
      </c>
      <c r="J25" s="82" t="inlineStr">
        <is>
          <t>-</t>
        </is>
      </c>
      <c r="K25" s="82" t="inlineStr">
        <is>
          <t>-</t>
        </is>
      </c>
      <c r="L25" s="82" t="inlineStr">
        <is>
          <t>-</t>
        </is>
      </c>
      <c r="M25" s="82" t="inlineStr">
        <is>
          <t>-</t>
        </is>
      </c>
      <c r="N25" s="82" t="inlineStr">
        <is>
          <t>-</t>
        </is>
      </c>
    </row>
    <row r="26" ht="18.5" customHeight="1">
      <c r="A26" s="12" t="inlineStr">
        <is>
          <t>(=) Gasto por Intereses ($M) [Interest Expense]</t>
        </is>
      </c>
      <c r="B26" s="98" t="inlineStr">
        <is>
          <t>Coste de Financiación de Deuda</t>
        </is>
      </c>
      <c r="C26" s="99" t="inlineStr">
        <is>
          <t>Carga Financiera Bruta</t>
        </is>
      </c>
      <c r="D26" s="76" t="n">
        <v>3.8</v>
      </c>
      <c r="E26" s="76" t="n">
        <v>2.5</v>
      </c>
      <c r="F26" s="76" t="n">
        <v>3.5</v>
      </c>
      <c r="G26" s="76" t="n">
        <v>1.8</v>
      </c>
      <c r="H26" s="76" t="n">
        <v>1.9</v>
      </c>
      <c r="I26" s="76" t="n">
        <v>1.8</v>
      </c>
      <c r="J26" s="76" t="n">
        <v>2.9</v>
      </c>
      <c r="K26" s="76" t="n">
        <v>2.5</v>
      </c>
      <c r="L26" s="76" t="n">
        <v>3.8</v>
      </c>
      <c r="M26" s="76" t="n">
        <v>3.8</v>
      </c>
      <c r="N26" s="76" t="n">
        <v>5.5</v>
      </c>
    </row>
    <row r="27" ht="18.5" customHeight="1">
      <c r="A27" s="88" t="inlineStr">
        <is>
          <t>Cobertura de Intereses Operativa (EBIT / Intereses)</t>
        </is>
      </c>
      <c r="B27" s="101" t="inlineStr">
        <is>
          <t>EBIT / Gasto de Intereses</t>
        </is>
      </c>
      <c r="C27" s="102" t="inlineStr">
        <is>
          <t>Óptimo: &gt; 10.0x | Alerta: &lt; 2.5x</t>
        </is>
      </c>
      <c r="D27" s="91" t="inlineStr">
        <is>
          <t>INFINITA (SIN DEUDA)</t>
        </is>
      </c>
      <c r="E27" s="91" t="inlineStr">
        <is>
          <t>INFINITA (SIN DEUDA)</t>
        </is>
      </c>
      <c r="F27" s="91" t="inlineStr">
        <is>
          <t>INFINITA (SIN DEUDA)</t>
        </is>
      </c>
      <c r="G27" s="91" t="inlineStr">
        <is>
          <t>INFINITA (SIN DEUDA)</t>
        </is>
      </c>
      <c r="H27" s="91" t="inlineStr">
        <is>
          <t>INFINITA (SIN DEUDA)</t>
        </is>
      </c>
      <c r="I27" s="91" t="inlineStr">
        <is>
          <t>INFINITA (SIN DEUDA)</t>
        </is>
      </c>
      <c r="J27" s="91" t="inlineStr">
        <is>
          <t>INFINITA (SIN DEUDA)</t>
        </is>
      </c>
      <c r="K27" s="91" t="inlineStr">
        <is>
          <t>INFINITA (SIN DEUDA)</t>
        </is>
      </c>
      <c r="L27" s="91" t="inlineStr">
        <is>
          <t>INFINITA (SIN DEUDA)</t>
        </is>
      </c>
      <c r="M27" s="91" t="inlineStr">
        <is>
          <t>INFINITA (SIN DEUDA)</t>
        </is>
      </c>
      <c r="N27" s="91" t="inlineStr">
        <is>
          <t>INFINITA (SIN DEUDA)</t>
        </is>
      </c>
    </row>
    <row r="28" ht="18.5" customHeight="1">
      <c r="A28" s="6" t="inlineStr">
        <is>
          <t>Cobertura de Intereses en Caja (CFO / Intereses)</t>
        </is>
      </c>
      <c r="B28" s="29" t="inlineStr">
        <is>
          <t>CFO / Gasto de Intereses</t>
        </is>
      </c>
      <c r="C28" s="74" t="inlineStr">
        <is>
          <t>Óptimo: &gt; 8.0x | Alerta: &lt; 2.0x</t>
        </is>
      </c>
      <c r="D28" s="119" t="inlineStr">
        <is>
          <t>INFINITA (SIN DEUDA)</t>
        </is>
      </c>
      <c r="E28" s="119" t="inlineStr">
        <is>
          <t>INFINITA (SIN DEUDA)</t>
        </is>
      </c>
      <c r="F28" s="119" t="inlineStr">
        <is>
          <t>INFINITA (SIN DEUDA)</t>
        </is>
      </c>
      <c r="G28" s="119" t="inlineStr">
        <is>
          <t>INFINITA (SIN DEUDA)</t>
        </is>
      </c>
      <c r="H28" s="119" t="inlineStr">
        <is>
          <t>INFINITA (SIN DEUDA)</t>
        </is>
      </c>
      <c r="I28" s="119" t="inlineStr">
        <is>
          <t>INFINITA (SIN DEUDA)</t>
        </is>
      </c>
      <c r="J28" s="119" t="inlineStr">
        <is>
          <t>INFINITA (SIN DEUDA)</t>
        </is>
      </c>
      <c r="K28" s="119" t="inlineStr">
        <is>
          <t>INFINITA (SIN DEUDA)</t>
        </is>
      </c>
      <c r="L28" s="119" t="inlineStr">
        <is>
          <t>INFINITA (SIN DEUDA)</t>
        </is>
      </c>
      <c r="M28" s="119" t="inlineStr">
        <is>
          <t>INFINITA (SIN DEUDA)</t>
        </is>
      </c>
      <c r="N28" s="119" t="inlineStr">
        <is>
          <t>INFINITA (SIN DEUDA)</t>
        </is>
      </c>
    </row>
    <row r="29" ht="18.5" customHeight="1">
      <c r="A29" s="6" t="inlineStr">
        <is>
          <t>Carga Financiera sobre Caja (% Intereses / CFO)</t>
        </is>
      </c>
      <c r="B29" s="29" t="inlineStr">
        <is>
          <t>(Intereses / CFO) * 100</t>
        </is>
      </c>
      <c r="C29" s="74" t="inlineStr">
        <is>
          <t>Óptimo: &lt; 5.0% | Alerta: &gt; 20.0%</t>
        </is>
      </c>
      <c r="D29" s="81" t="n">
        <v>0</v>
      </c>
      <c r="E29" s="81" t="n">
        <v>0</v>
      </c>
      <c r="F29" s="81" t="n">
        <v>0</v>
      </c>
      <c r="G29" s="81" t="n">
        <v>0</v>
      </c>
      <c r="H29" s="81" t="n">
        <v>0</v>
      </c>
      <c r="I29" s="81" t="n">
        <v>0</v>
      </c>
      <c r="J29" s="81" t="n">
        <v>0</v>
      </c>
      <c r="K29" s="81" t="n">
        <v>0</v>
      </c>
      <c r="L29" s="81" t="n">
        <v>0</v>
      </c>
      <c r="M29" s="81" t="n">
        <v>0</v>
      </c>
      <c r="N29" s="81" t="n">
        <v>0</v>
      </c>
    </row>
    <row r="30" ht="22" customHeight="1">
      <c r="A30" s="36" t="inlineStr">
        <is>
          <t>Diagnóstico de Cobertura y Servicio</t>
        </is>
      </c>
      <c r="B30" s="29" t="inlineStr">
        <is>
          <t>Protección ante Tipos de Interés</t>
        </is>
      </c>
      <c r="C30" s="74" t="inlineStr">
        <is>
          <t>Resistencia Crediticia</t>
        </is>
      </c>
      <c r="D30" s="119" t="inlineStr">
        <is>
          <t>SERVICIO BLINDADO</t>
        </is>
      </c>
      <c r="E30" s="119" t="inlineStr">
        <is>
          <t>SERVICIO BLINDADO</t>
        </is>
      </c>
      <c r="F30" s="119" t="inlineStr">
        <is>
          <t>SERVICIO BLINDADO</t>
        </is>
      </c>
      <c r="G30" s="119" t="inlineStr">
        <is>
          <t>SERVICIO BLINDADO</t>
        </is>
      </c>
      <c r="H30" s="119" t="inlineStr">
        <is>
          <t>SERVICIO BLINDADO</t>
        </is>
      </c>
      <c r="I30" s="119" t="inlineStr">
        <is>
          <t>SERVICIO BLINDADO</t>
        </is>
      </c>
      <c r="J30" s="119" t="inlineStr">
        <is>
          <t>SERVICIO BLINDADO</t>
        </is>
      </c>
      <c r="K30" s="119" t="inlineStr">
        <is>
          <t>SERVICIO BLINDADO</t>
        </is>
      </c>
      <c r="L30" s="119" t="inlineStr">
        <is>
          <t>SERVICIO BLINDADO</t>
        </is>
      </c>
      <c r="M30" s="119" t="inlineStr">
        <is>
          <t>SERVICIO BLINDADO</t>
        </is>
      </c>
      <c r="N30" s="119" t="inlineStr">
        <is>
          <t>SERVICIO BLINDADO</t>
        </is>
      </c>
    </row>
    <row r="31" ht="56" customHeight="1">
      <c r="A31" s="111" t="inlineStr">
        <is>
          <t>Diagnóstico de Cobertura (LTM): La compañía opera sin deuda financiera, por lo que carece de gasto financiero que comprometa sus resultados.</t>
        </is>
      </c>
      <c r="B31" s="70" t="n"/>
      <c r="C31" s="70" t="n"/>
      <c r="D31" s="70" t="n"/>
      <c r="E31" s="70" t="n"/>
      <c r="F31" s="70" t="n"/>
      <c r="G31" s="70" t="n"/>
      <c r="H31" s="70" t="n"/>
      <c r="I31" s="70" t="n"/>
      <c r="J31" s="70" t="n"/>
      <c r="K31" s="70" t="n"/>
      <c r="L31" s="70" t="n"/>
      <c r="M31" s="70" t="n"/>
      <c r="N31" s="70" t="n"/>
    </row>
    <row r="32" ht="10" customHeight="1"/>
    <row r="33" ht="22" customHeight="1">
      <c r="A33" s="18" t="inlineStr">
        <is>
          <t>TABLA 3: LIQUIDEZ ESTRICTA Y RIESGO DE REFINANCIACIÓN (ROLLOVER RISK)</t>
        </is>
      </c>
      <c r="B33" s="19" t="n"/>
      <c r="C33" s="19" t="n"/>
      <c r="D33" s="19" t="n"/>
      <c r="E33" s="19" t="n"/>
      <c r="F33" s="19" t="n"/>
      <c r="G33" s="19" t="n"/>
      <c r="H33" s="19" t="n"/>
      <c r="I33" s="19" t="n"/>
      <c r="J33" s="19" t="n"/>
      <c r="K33" s="19" t="n"/>
      <c r="L33" s="19" t="n"/>
      <c r="M33" s="19" t="n"/>
      <c r="N33" s="19" t="n"/>
    </row>
    <row r="34" ht="25" customHeight="1">
      <c r="A34" s="3" t="inlineStr">
        <is>
          <t>Ratio de Liquidez / Refinanciación</t>
        </is>
      </c>
      <c r="B34" s="3" t="inlineStr">
        <is>
          <t>Definición / Fórmula Contable</t>
        </is>
      </c>
      <c r="C34" s="5" t="inlineStr">
        <is>
          <t>Parámetro de Solvencia Inmediata</t>
        </is>
      </c>
      <c r="D34" s="4" t="inlineStr">
        <is>
          <t>LTM</t>
        </is>
      </c>
      <c r="E34" s="5" t="inlineStr">
        <is>
          <t>FY2026</t>
        </is>
      </c>
      <c r="F34" s="5" t="inlineStr">
        <is>
          <t>FY2025</t>
        </is>
      </c>
      <c r="G34" s="5" t="inlineStr">
        <is>
          <t>FY2024</t>
        </is>
      </c>
      <c r="H34" s="5" t="inlineStr">
        <is>
          <t>FY2023</t>
        </is>
      </c>
      <c r="I34" s="5" t="inlineStr">
        <is>
          <t>FY2022</t>
        </is>
      </c>
      <c r="J34" s="5" t="inlineStr">
        <is>
          <t>FY2021</t>
        </is>
      </c>
      <c r="K34" s="5" t="inlineStr">
        <is>
          <t>FY2020</t>
        </is>
      </c>
      <c r="L34" s="5" t="inlineStr">
        <is>
          <t>FY2019</t>
        </is>
      </c>
      <c r="M34" s="5" t="inlineStr">
        <is>
          <t>FY2018</t>
        </is>
      </c>
      <c r="N34" s="5" t="inlineStr">
        <is>
          <t>FY2017</t>
        </is>
      </c>
    </row>
    <row r="35" ht="18.5" customHeight="1">
      <c r="A35" s="6" t="inlineStr">
        <is>
          <t>(+) Caja y Equivalentes ($M) [Cash &amp; ST Investments]</t>
        </is>
      </c>
      <c r="B35" s="29" t="inlineStr">
        <is>
          <t>Efectivo Disponible Inmediato</t>
        </is>
      </c>
      <c r="C35" s="74" t="inlineStr">
        <is>
          <t>Tesorería Líquida</t>
        </is>
      </c>
      <c r="D35" s="75" t="n">
        <v>1602.6</v>
      </c>
      <c r="E35" s="75" t="n">
        <v>1907.2</v>
      </c>
      <c r="F35" s="75" t="n">
        <v>1889.2</v>
      </c>
      <c r="G35" s="75" t="n">
        <v>1502.1</v>
      </c>
      <c r="H35" s="75" t="n">
        <v>981.8</v>
      </c>
      <c r="I35" s="75" t="n">
        <v>843.5</v>
      </c>
      <c r="J35" s="75" t="n">
        <v>1089.4</v>
      </c>
      <c r="K35" s="75" t="n">
        <v>649.4</v>
      </c>
      <c r="L35" s="75" t="n">
        <v>0</v>
      </c>
      <c r="M35" s="75" t="n">
        <v>430</v>
      </c>
      <c r="N35" s="75" t="n">
        <v>291.8</v>
      </c>
    </row>
    <row r="36" ht="18.5" customHeight="1">
      <c r="A36" s="6" t="inlineStr">
        <is>
          <t>(+) Cuentas por Cobrar a Clientes ($M) [Receivables]</t>
        </is>
      </c>
      <c r="B36" s="29" t="inlineStr">
        <is>
          <t>Créditos Comerciales Pendientes</t>
        </is>
      </c>
      <c r="C36" s="74" t="inlineStr">
        <is>
          <t>Cobro &lt; 90 días</t>
        </is>
      </c>
      <c r="D36" s="75" t="n">
        <v>378.3</v>
      </c>
      <c r="E36" s="75" t="n">
        <v>319</v>
      </c>
      <c r="F36" s="75" t="n">
        <v>332.9</v>
      </c>
      <c r="G36" s="75" t="n">
        <v>296.6</v>
      </c>
      <c r="H36" s="75" t="n">
        <v>301.5</v>
      </c>
      <c r="I36" s="75" t="n">
        <v>302.7</v>
      </c>
      <c r="J36" s="75" t="n">
        <v>215.7</v>
      </c>
      <c r="K36" s="75" t="n">
        <v>185.6</v>
      </c>
      <c r="L36" s="75" t="n">
        <v>178.6</v>
      </c>
      <c r="M36" s="75" t="n">
        <v>143.7</v>
      </c>
      <c r="N36" s="75" t="n">
        <v>158.6</v>
      </c>
    </row>
    <row r="37" ht="18.5" customHeight="1">
      <c r="A37" s="6" t="inlineStr">
        <is>
          <t>(-) Pasivo Corriente ($M) [Current Liabilities]</t>
        </is>
      </c>
      <c r="B37" s="29" t="inlineStr">
        <is>
          <t>Obligaciones Exigibles &lt; 12 meses</t>
        </is>
      </c>
      <c r="C37" s="74" t="inlineStr">
        <is>
          <t>Deuda Corto Plazo</t>
        </is>
      </c>
      <c r="D37" s="75" t="n">
        <v>1063.6</v>
      </c>
      <c r="E37" s="75" t="n">
        <v>804.1</v>
      </c>
      <c r="F37" s="75" t="n">
        <v>769.9</v>
      </c>
      <c r="G37" s="75" t="n">
        <v>720</v>
      </c>
      <c r="H37" s="75" t="n">
        <v>497.4</v>
      </c>
      <c r="I37" s="75" t="n">
        <v>541.7</v>
      </c>
      <c r="J37" s="75" t="n">
        <v>468.4</v>
      </c>
      <c r="K37" s="75" t="n">
        <v>300.9</v>
      </c>
      <c r="L37" s="75" t="n">
        <v>250.5</v>
      </c>
      <c r="M37" s="75" t="n">
        <v>189.2</v>
      </c>
      <c r="N37" s="75" t="n">
        <v>159.1</v>
      </c>
    </row>
    <row r="38" ht="18.5" customHeight="1">
      <c r="A38" s="6" t="inlineStr">
        <is>
          <t>Ratio de Liquidez Inmediata (Cash Ratio)</t>
        </is>
      </c>
      <c r="B38" s="29" t="inlineStr">
        <is>
          <t>Caja / Pasivo Corriente</t>
        </is>
      </c>
      <c r="C38" s="74" t="inlineStr">
        <is>
          <t>Óptimo: &gt; 0.50x | Alerta: &lt; 0.20x</t>
        </is>
      </c>
      <c r="D38" s="112" t="n">
        <v>1.51</v>
      </c>
      <c r="E38" s="112" t="n">
        <v>2.37</v>
      </c>
      <c r="F38" s="112" t="n">
        <v>2.45</v>
      </c>
      <c r="G38" s="112" t="n">
        <v>2.09</v>
      </c>
      <c r="H38" s="112" t="n">
        <v>1.97</v>
      </c>
      <c r="I38" s="112" t="n">
        <v>1.56</v>
      </c>
      <c r="J38" s="112" t="n">
        <v>2.33</v>
      </c>
      <c r="K38" s="112" t="n">
        <v>2.16</v>
      </c>
      <c r="L38" s="112" t="n">
        <v>0</v>
      </c>
      <c r="M38" s="112" t="n">
        <v>2.27</v>
      </c>
      <c r="N38" s="112" t="n">
        <v>1.83</v>
      </c>
    </row>
    <row r="39" ht="18.5" customHeight="1">
      <c r="A39" s="12" t="inlineStr">
        <is>
          <t>Test Ácido / Quick Ratio (Caja + AR / Pasivo Corr.)</t>
        </is>
      </c>
      <c r="B39" s="98" t="inlineStr">
        <is>
          <t>(Caja + Cobros) / Pasivo Corriente</t>
        </is>
      </c>
      <c r="C39" s="99" t="inlineStr">
        <is>
          <t>Óptimo: &gt; 1.20x | Alerta: &lt; 0.80x</t>
        </is>
      </c>
      <c r="D39" s="113" t="n">
        <v>1.86</v>
      </c>
      <c r="E39" s="113" t="n">
        <v>2.77</v>
      </c>
      <c r="F39" s="113" t="n">
        <v>2.89</v>
      </c>
      <c r="G39" s="113" t="n">
        <v>2.5</v>
      </c>
      <c r="H39" s="113" t="n">
        <v>2.58</v>
      </c>
      <c r="I39" s="113" t="n">
        <v>2.12</v>
      </c>
      <c r="J39" s="113" t="n">
        <v>2.79</v>
      </c>
      <c r="K39" s="113" t="n">
        <v>2.77</v>
      </c>
      <c r="L39" s="114" t="n">
        <v>0.71</v>
      </c>
      <c r="M39" s="113" t="n">
        <v>3.03</v>
      </c>
      <c r="N39" s="113" t="n">
        <v>2.83</v>
      </c>
    </row>
    <row r="40" ht="18.5" customHeight="1">
      <c r="A40" s="6" t="inlineStr">
        <is>
          <t>Ratio Corriente / Current Ratio (Act. Corr. / Pas. Corr.)</t>
        </is>
      </c>
      <c r="B40" s="29" t="inlineStr">
        <is>
          <t>Activo Corriente / Pasivo Corriente</t>
        </is>
      </c>
      <c r="C40" s="74" t="inlineStr">
        <is>
          <t>Óptimo: &gt; 1.50x | Alerta: &lt; 1.00x</t>
        </is>
      </c>
      <c r="D40" s="112" t="n">
        <v>2.75</v>
      </c>
      <c r="E40" s="112" t="n">
        <v>3.54</v>
      </c>
      <c r="F40" s="112" t="n">
        <v>3.72</v>
      </c>
      <c r="G40" s="112" t="n">
        <v>3.39</v>
      </c>
      <c r="H40" s="112" t="n">
        <v>3.84</v>
      </c>
      <c r="I40" s="112" t="n">
        <v>3.23</v>
      </c>
      <c r="J40" s="112" t="n">
        <v>3.52</v>
      </c>
      <c r="K40" s="112" t="n">
        <v>3.97</v>
      </c>
      <c r="L40" s="112" t="n">
        <v>4.37</v>
      </c>
      <c r="M40" s="112" t="n">
        <v>4.81</v>
      </c>
      <c r="N40" s="112" t="n">
        <v>5.16</v>
      </c>
    </row>
    <row r="41" ht="18.5" customHeight="1">
      <c r="A41" s="6" t="inlineStr">
        <is>
          <t>Deuda Financiera a Corto Plazo ($M) [ST Debt]</t>
        </is>
      </c>
      <c r="B41" s="29" t="inlineStr">
        <is>
          <t>Vencimientos de Deuda &lt; 1 Año</t>
        </is>
      </c>
      <c r="C41" s="74" t="inlineStr">
        <is>
          <t>Exigibilidad Inmediata</t>
        </is>
      </c>
      <c r="D41" s="75" t="n">
        <v>0</v>
      </c>
      <c r="E41" s="75" t="n">
        <v>0</v>
      </c>
      <c r="F41" s="75" t="n">
        <v>0</v>
      </c>
      <c r="G41" s="75" t="n">
        <v>0</v>
      </c>
      <c r="H41" s="75" t="n">
        <v>0</v>
      </c>
      <c r="I41" s="75" t="n">
        <v>0</v>
      </c>
      <c r="J41" s="75" t="n">
        <v>0</v>
      </c>
      <c r="K41" s="75" t="n">
        <v>0</v>
      </c>
      <c r="L41" s="75" t="n">
        <v>0</v>
      </c>
      <c r="M41" s="75" t="n">
        <v>0</v>
      </c>
      <c r="N41" s="75" t="n">
        <v>0</v>
      </c>
    </row>
    <row r="42" ht="18.5" customHeight="1">
      <c r="A42" s="88" t="inlineStr">
        <is>
          <t>Riesgo de Refinanciación (% Deuda Corto Plazo / Total)</t>
        </is>
      </c>
      <c r="B42" s="101" t="inlineStr">
        <is>
          <t>(Deuda CP / Deuda Total) * 100</t>
        </is>
      </c>
      <c r="C42" s="102" t="inlineStr">
        <is>
          <t>Óptimo: &lt; 25.0% | Alerta: &gt; 50.0%</t>
        </is>
      </c>
      <c r="D42" s="77" t="n">
        <v>0</v>
      </c>
      <c r="E42" s="77" t="n">
        <v>0</v>
      </c>
      <c r="F42" s="77" t="n">
        <v>0</v>
      </c>
      <c r="G42" s="77" t="n">
        <v>0</v>
      </c>
      <c r="H42" s="77" t="n">
        <v>0</v>
      </c>
      <c r="I42" s="77" t="n">
        <v>0</v>
      </c>
      <c r="J42" s="77" t="n">
        <v>0</v>
      </c>
      <c r="K42" s="77" t="n">
        <v>0</v>
      </c>
      <c r="L42" s="77" t="n">
        <v>0</v>
      </c>
      <c r="M42" s="77" t="n">
        <v>0</v>
      </c>
      <c r="N42" s="77" t="n">
        <v>0</v>
      </c>
    </row>
    <row r="43" ht="22" customHeight="1">
      <c r="A43" s="36" t="inlineStr">
        <is>
          <t>Diagnóstico de Liquidez y Refinanciación</t>
        </is>
      </c>
      <c r="B43" s="29" t="inlineStr">
        <is>
          <t>Salud de Tesorería y Calendario de Deuda</t>
        </is>
      </c>
      <c r="C43" s="74" t="inlineStr">
        <is>
          <t>Riesgo de Liquidez</t>
        </is>
      </c>
      <c r="D43" s="119" t="inlineStr">
        <is>
          <t>COLCHÓN DE LIQUIDEZ</t>
        </is>
      </c>
      <c r="E43" s="119" t="inlineStr">
        <is>
          <t>COLCHÓN DE LIQUIDEZ</t>
        </is>
      </c>
      <c r="F43" s="119" t="inlineStr">
        <is>
          <t>COLCHÓN DE LIQUIDEZ</t>
        </is>
      </c>
      <c r="G43" s="119" t="inlineStr">
        <is>
          <t>COLCHÓN DE LIQUIDEZ</t>
        </is>
      </c>
      <c r="H43" s="119" t="inlineStr">
        <is>
          <t>COLCHÓN DE LIQUIDEZ</t>
        </is>
      </c>
      <c r="I43" s="119" t="inlineStr">
        <is>
          <t>COLCHÓN DE LIQUIDEZ</t>
        </is>
      </c>
      <c r="J43" s="119" t="inlineStr">
        <is>
          <t>COLCHÓN DE LIQUIDEZ</t>
        </is>
      </c>
      <c r="K43" s="119" t="inlineStr">
        <is>
          <t>COLCHÓN DE LIQUIDEZ</t>
        </is>
      </c>
      <c r="L43" s="62" t="inlineStr">
        <is>
          <t>LIQUIDEZ AJUSTADA</t>
        </is>
      </c>
      <c r="M43" s="119" t="inlineStr">
        <is>
          <t>COLCHÓN DE LIQUIDEZ</t>
        </is>
      </c>
      <c r="N43" s="119" t="inlineStr">
        <is>
          <t>COLCHÓN DE LIQUIDEZ</t>
        </is>
      </c>
    </row>
    <row r="44" ht="40" customHeight="1">
      <c r="A44" s="111" t="inlineStr">
        <is>
          <t>Diagnóstico de Liquidez (LTM): La liquidez ácida (1.86x) cubre sobradamente los pasivos inmediatos sin depender de vender inventario.</t>
        </is>
      </c>
      <c r="B44" s="70" t="n"/>
      <c r="C44" s="70" t="n"/>
      <c r="D44" s="70" t="n"/>
      <c r="E44" s="70" t="n"/>
      <c r="F44" s="70" t="n"/>
      <c r="G44" s="70" t="n"/>
      <c r="H44" s="70" t="n"/>
      <c r="I44" s="70" t="n"/>
      <c r="J44" s="70" t="n"/>
      <c r="K44" s="70" t="n"/>
      <c r="L44" s="70" t="n"/>
      <c r="M44" s="70" t="n"/>
      <c r="N44" s="70" t="n"/>
    </row>
    <row r="45" ht="10" customHeight="1"/>
    <row r="46" ht="22" customHeight="1">
      <c r="A46" s="18" t="inlineStr">
        <is>
          <t>TABLA 4: MODELOS PREDICTIVOS DE QUIEBRA Y RATING SINTÉTICO (ALTMAN Z'' &amp; DAMODARAN)</t>
        </is>
      </c>
      <c r="B46" s="19" t="n"/>
      <c r="C46" s="19" t="n"/>
      <c r="D46" s="19" t="n"/>
      <c r="E46" s="19" t="n"/>
      <c r="F46" s="19" t="n"/>
      <c r="G46" s="19" t="n"/>
      <c r="H46" s="19" t="n"/>
      <c r="I46" s="19" t="n"/>
      <c r="J46" s="19" t="n"/>
      <c r="K46" s="19" t="n"/>
      <c r="L46" s="19" t="n"/>
      <c r="M46" s="19" t="n"/>
      <c r="N46" s="19" t="n"/>
    </row>
    <row r="47" ht="25" customHeight="1">
      <c r="A47" s="3" t="inlineStr">
        <is>
          <t>Modelo / Métrica de Estrés e Insolvencia</t>
        </is>
      </c>
      <c r="B47" s="3" t="inlineStr">
        <is>
          <t>Definición / Fórmula Econométrica</t>
        </is>
      </c>
      <c r="C47" s="5" t="inlineStr">
        <is>
          <t>Clasificación de Riesgo Crediticio</t>
        </is>
      </c>
      <c r="D47" s="4" t="inlineStr">
        <is>
          <t>LTM</t>
        </is>
      </c>
      <c r="E47" s="5" t="inlineStr">
        <is>
          <t>FY2026</t>
        </is>
      </c>
      <c r="F47" s="5" t="inlineStr">
        <is>
          <t>FY2025</t>
        </is>
      </c>
      <c r="G47" s="5" t="inlineStr">
        <is>
          <t>FY2024</t>
        </is>
      </c>
      <c r="H47" s="5" t="inlineStr">
        <is>
          <t>FY2023</t>
        </is>
      </c>
      <c r="I47" s="5" t="inlineStr">
        <is>
          <t>FY2022</t>
        </is>
      </c>
      <c r="J47" s="5" t="inlineStr">
        <is>
          <t>FY2021</t>
        </is>
      </c>
      <c r="K47" s="5" t="inlineStr">
        <is>
          <t>FY2020</t>
        </is>
      </c>
      <c r="L47" s="5" t="inlineStr">
        <is>
          <t>FY2019</t>
        </is>
      </c>
      <c r="M47" s="5" t="inlineStr">
        <is>
          <t>FY2018</t>
        </is>
      </c>
      <c r="N47" s="5" t="inlineStr">
        <is>
          <t>FY2017</t>
        </is>
      </c>
    </row>
    <row r="48" ht="18.5" customHeight="1">
      <c r="A48" s="6" t="inlineStr">
        <is>
          <t>Componente X1: Fondo de Maniobra / Activos</t>
        </is>
      </c>
      <c r="B48" s="29" t="inlineStr">
        <is>
          <t>(Activo Corriente - Pasivo Corriente) / Activos</t>
        </is>
      </c>
      <c r="C48" s="74" t="inlineStr">
        <is>
          <t>Liquidez Relativa de Balance</t>
        </is>
      </c>
      <c r="D48" s="107" t="n">
        <v>0.4804</v>
      </c>
      <c r="E48" s="107" t="n">
        <v>0.5548999999999999</v>
      </c>
      <c r="F48" s="107" t="n">
        <v>0.5855</v>
      </c>
      <c r="G48" s="107" t="n">
        <v>0.5497</v>
      </c>
      <c r="H48" s="107" t="n">
        <v>0.5527</v>
      </c>
      <c r="I48" s="107" t="n">
        <v>0.519</v>
      </c>
      <c r="J48" s="107" t="n">
        <v>0.5455</v>
      </c>
      <c r="K48" s="107" t="n">
        <v>0.506</v>
      </c>
      <c r="L48" s="107" t="n">
        <v>0.592</v>
      </c>
      <c r="M48" s="107" t="n">
        <v>0.5707</v>
      </c>
      <c r="N48" s="107" t="n">
        <v>0.5553</v>
      </c>
    </row>
    <row r="49" ht="18.5" customHeight="1">
      <c r="A49" s="6" t="inlineStr">
        <is>
          <t>Componente X2: Resultados Acumulados / Activos</t>
        </is>
      </c>
      <c r="B49" s="29" t="inlineStr">
        <is>
          <t>Retained Earnings / Activos Totales</t>
        </is>
      </c>
      <c r="C49" s="74" t="inlineStr">
        <is>
          <t>Autofinanciación Histórica</t>
        </is>
      </c>
      <c r="D49" s="107" t="n">
        <v>0.526</v>
      </c>
      <c r="E49" s="107" t="n">
        <v>0.6091</v>
      </c>
      <c r="F49" s="107" t="n">
        <v>0.6464</v>
      </c>
      <c r="G49" s="107" t="n">
        <v>0.61</v>
      </c>
      <c r="H49" s="107" t="n">
        <v>0.6148</v>
      </c>
      <c r="I49" s="107" t="n">
        <v>0.58</v>
      </c>
      <c r="J49" s="107" t="n">
        <v>0.5800999999999999</v>
      </c>
      <c r="K49" s="107" t="n">
        <v>0.5518</v>
      </c>
      <c r="L49" s="107" t="n">
        <v>0.6231</v>
      </c>
      <c r="M49" s="107" t="n">
        <v>0.6215000000000001</v>
      </c>
      <c r="N49" s="107" t="n">
        <v>0.6877</v>
      </c>
    </row>
    <row r="50" ht="18.5" customHeight="1">
      <c r="A50" s="6" t="inlineStr">
        <is>
          <t>Componente X3: EBIT / Activos Totales</t>
        </is>
      </c>
      <c r="B50" s="29" t="inlineStr">
        <is>
          <t>Beneficio Operativo / Activos Totales</t>
        </is>
      </c>
      <c r="C50" s="74" t="inlineStr">
        <is>
          <t>Productividad Pura de Activos</t>
        </is>
      </c>
      <c r="D50" s="107" t="n">
        <v>0.3239</v>
      </c>
      <c r="E50" s="107" t="n">
        <v>0.3425</v>
      </c>
      <c r="F50" s="107" t="n">
        <v>0.3303</v>
      </c>
      <c r="G50" s="107" t="n">
        <v>0.2958</v>
      </c>
      <c r="H50" s="107" t="n">
        <v>0.2554</v>
      </c>
      <c r="I50" s="107" t="n">
        <v>0.2421</v>
      </c>
      <c r="J50" s="107" t="n">
        <v>0.2326</v>
      </c>
      <c r="K50" s="107" t="n">
        <v>0.1916</v>
      </c>
      <c r="L50" s="107" t="n">
        <v>0.2293</v>
      </c>
      <c r="M50" s="107" t="n">
        <v>0.176</v>
      </c>
      <c r="N50" s="107" t="n">
        <v>-0.0016</v>
      </c>
    </row>
    <row r="51" ht="18.5" customHeight="1">
      <c r="A51" s="6" t="inlineStr">
        <is>
          <t>Componente X4: Patrimonio Neto / Pasivos Totales</t>
        </is>
      </c>
      <c r="B51" s="29" t="inlineStr">
        <is>
          <t>Stockholders' Equity / Total Liabilities</t>
        </is>
      </c>
      <c r="C51" s="74" t="inlineStr">
        <is>
          <t>Colchón de Solvencia Patrimonial</t>
        </is>
      </c>
      <c r="D51" s="107" t="n">
        <v>1.4689</v>
      </c>
      <c r="E51" s="107" t="n">
        <v>2.1038</v>
      </c>
      <c r="F51" s="107" t="n">
        <v>2.377</v>
      </c>
      <c r="G51" s="107" t="n">
        <v>2.0498</v>
      </c>
      <c r="H51" s="107" t="n">
        <v>2.2338</v>
      </c>
      <c r="I51" s="107" t="n">
        <v>1.9395</v>
      </c>
      <c r="J51" s="107" t="n">
        <v>1.9962</v>
      </c>
      <c r="K51" s="107" t="n">
        <v>1.8242</v>
      </c>
      <c r="L51" s="107" t="n">
        <v>2.7354</v>
      </c>
      <c r="M51" s="107" t="n">
        <v>2.9072</v>
      </c>
      <c r="N51" s="107" t="n">
        <v>4.0175</v>
      </c>
    </row>
    <row r="52" ht="18.5" customHeight="1">
      <c r="A52" s="88" t="inlineStr">
        <is>
          <t>(=) ALTMAN Z''-SCORE TOTAL (Modelo 4 Variables)</t>
        </is>
      </c>
      <c r="B52" s="101" t="inlineStr">
        <is>
          <t>6.56*X1 + 3.26*X2 + 6.72*X3 + 1.05*X4</t>
        </is>
      </c>
      <c r="C52" s="102" t="inlineStr">
        <is>
          <t>Segura: &gt; 2.60 | Distress: &lt; 1.10</t>
        </is>
      </c>
      <c r="D52" s="108" t="n">
        <v>8.59</v>
      </c>
      <c r="E52" s="108" t="n">
        <v>10.14</v>
      </c>
      <c r="F52" s="108" t="n">
        <v>10.66</v>
      </c>
      <c r="G52" s="108" t="n">
        <v>9.73</v>
      </c>
      <c r="H52" s="108" t="n">
        <v>9.69</v>
      </c>
      <c r="I52" s="108" t="n">
        <v>8.960000000000001</v>
      </c>
      <c r="J52" s="108" t="n">
        <v>9.130000000000001</v>
      </c>
      <c r="K52" s="108" t="n">
        <v>8.32</v>
      </c>
      <c r="L52" s="108" t="n">
        <v>10.33</v>
      </c>
      <c r="M52" s="108" t="n">
        <v>10.01</v>
      </c>
      <c r="N52" s="108" t="n">
        <v>10.09</v>
      </c>
    </row>
    <row r="53" ht="18.5" customHeight="1">
      <c r="A53" s="36" t="inlineStr">
        <is>
          <t>Zona de Riesgo de Quiebra Altman</t>
        </is>
      </c>
      <c r="B53" s="29" t="inlineStr">
        <is>
          <t>Dictamen Econométrico de Insolvencia</t>
        </is>
      </c>
      <c r="C53" s="74" t="inlineStr">
        <is>
          <t>Probabilidad de Default a 2 Años</t>
        </is>
      </c>
      <c r="D53" s="119" t="inlineStr">
        <is>
          <t>ZONA SEGURA (BAJO RIESGO DE QUIEBRA)</t>
        </is>
      </c>
      <c r="E53" s="119" t="inlineStr">
        <is>
          <t>ZONA SEGURA (BAJO RIESGO DE QUIEBRA)</t>
        </is>
      </c>
      <c r="F53" s="119" t="inlineStr">
        <is>
          <t>ZONA SEGURA (BAJO RIESGO DE QUIEBRA)</t>
        </is>
      </c>
      <c r="G53" s="119" t="inlineStr">
        <is>
          <t>ZONA SEGURA (BAJO RIESGO DE QUIEBRA)</t>
        </is>
      </c>
      <c r="H53" s="119" t="inlineStr">
        <is>
          <t>ZONA SEGURA (BAJO RIESGO DE QUIEBRA)</t>
        </is>
      </c>
      <c r="I53" s="119" t="inlineStr">
        <is>
          <t>ZONA SEGURA (BAJO RIESGO DE QUIEBRA)</t>
        </is>
      </c>
      <c r="J53" s="119" t="inlineStr">
        <is>
          <t>ZONA SEGURA (BAJO RIESGO DE QUIEBRA)</t>
        </is>
      </c>
      <c r="K53" s="119" t="inlineStr">
        <is>
          <t>ZONA SEGURA (BAJO RIESGO DE QUIEBRA)</t>
        </is>
      </c>
      <c r="L53" s="119" t="inlineStr">
        <is>
          <t>ZONA SEGURA (BAJO RIESGO DE QUIEBRA)</t>
        </is>
      </c>
      <c r="M53" s="119" t="inlineStr">
        <is>
          <t>ZONA SEGURA (BAJO RIESGO DE QUIEBRA)</t>
        </is>
      </c>
      <c r="N53" s="119" t="inlineStr">
        <is>
          <t>ZONA SEGURA (BAJO RIESGO DE QUIEBRA)</t>
        </is>
      </c>
    </row>
    <row r="54" ht="18.5" customHeight="1">
      <c r="A54" s="88" t="inlineStr">
        <is>
          <t>(=) Rating Crediticio Sintético (Damodaran)</t>
        </is>
      </c>
      <c r="B54" s="101" t="inlineStr">
        <is>
          <t>Equivalencia S&amp;P / Moody's según Cobertura</t>
        </is>
      </c>
      <c r="C54" s="102" t="inlineStr">
        <is>
          <t>Grado de Inversión (AAA a BBB-)</t>
        </is>
      </c>
      <c r="D54" s="91" t="inlineStr">
        <is>
          <t>AAA</t>
        </is>
      </c>
      <c r="E54" s="91" t="inlineStr">
        <is>
          <t>AAA</t>
        </is>
      </c>
      <c r="F54" s="91" t="inlineStr">
        <is>
          <t>AAA</t>
        </is>
      </c>
      <c r="G54" s="91" t="inlineStr">
        <is>
          <t>AAA</t>
        </is>
      </c>
      <c r="H54" s="91" t="inlineStr">
        <is>
          <t>AAA</t>
        </is>
      </c>
      <c r="I54" s="91" t="inlineStr">
        <is>
          <t>AAA</t>
        </is>
      </c>
      <c r="J54" s="91" t="inlineStr">
        <is>
          <t>AAA</t>
        </is>
      </c>
      <c r="K54" s="91" t="inlineStr">
        <is>
          <t>AAA</t>
        </is>
      </c>
      <c r="L54" s="91" t="inlineStr">
        <is>
          <t>AAA</t>
        </is>
      </c>
      <c r="M54" s="91" t="inlineStr">
        <is>
          <t>AAA</t>
        </is>
      </c>
      <c r="N54" s="91" t="inlineStr">
        <is>
          <t>AAA</t>
        </is>
      </c>
    </row>
    <row r="55" ht="18.5" customHeight="1">
      <c r="A55" s="6" t="inlineStr">
        <is>
          <t>Calificación Detallada del Emisor</t>
        </is>
      </c>
      <c r="B55" s="29" t="inlineStr">
        <is>
          <t>Descripción Institucional del Rating</t>
        </is>
      </c>
      <c r="C55" s="74" t="inlineStr">
        <is>
          <t>Categoría de Calidad Crediticia</t>
        </is>
      </c>
      <c r="D55" s="52" t="inlineStr">
        <is>
          <t>MÁXIMA CALIDAD CREDITICIA (LIBRE DE DEUDA)</t>
        </is>
      </c>
      <c r="E55" s="52" t="inlineStr">
        <is>
          <t>MÁXIMA CALIDAD CREDITICIA (LIBRE DE DEUDA)</t>
        </is>
      </c>
      <c r="F55" s="52" t="inlineStr">
        <is>
          <t>MÁXIMA CALIDAD CREDITICIA (LIBRE DE DEUDA)</t>
        </is>
      </c>
      <c r="G55" s="52" t="inlineStr">
        <is>
          <t>MÁXIMA CALIDAD CREDITICIA (LIBRE DE DEUDA)</t>
        </is>
      </c>
      <c r="H55" s="52" t="inlineStr">
        <is>
          <t>MÁXIMA CALIDAD CREDITICIA (LIBRE DE DEUDA)</t>
        </is>
      </c>
      <c r="I55" s="52" t="inlineStr">
        <is>
          <t>MÁXIMA CALIDAD CREDITICIA (LIBRE DE DEUDA)</t>
        </is>
      </c>
      <c r="J55" s="52" t="inlineStr">
        <is>
          <t>MÁXIMA CALIDAD CREDITICIA (LIBRE DE DEUDA)</t>
        </is>
      </c>
      <c r="K55" s="52" t="inlineStr">
        <is>
          <t>MÁXIMA CALIDAD CREDITICIA (LIBRE DE DEUDA)</t>
        </is>
      </c>
      <c r="L55" s="52" t="inlineStr">
        <is>
          <t>MÁXIMA CALIDAD CREDITICIA (LIBRE DE DEUDA)</t>
        </is>
      </c>
      <c r="M55" s="52" t="inlineStr">
        <is>
          <t>MÁXIMA CALIDAD CREDITICIA (LIBRE DE DEUDA)</t>
        </is>
      </c>
      <c r="N55" s="52" t="inlineStr">
        <is>
          <t>MÁXIMA CALIDAD CREDITICIA (LIBRE DE DEUDA)</t>
        </is>
      </c>
    </row>
    <row r="56" ht="18.5" customHeight="1">
      <c r="A56" s="6" t="inlineStr">
        <is>
          <t>Diferencial de Crédito Teórico (Spread %)</t>
        </is>
      </c>
      <c r="B56" s="29" t="inlineStr">
        <is>
          <t>Spread Estimado sobre Tipo Libre de Riesgo</t>
        </is>
      </c>
      <c r="C56" s="74" t="inlineStr">
        <is>
          <t>Coste de Financiación Marginal</t>
        </is>
      </c>
      <c r="D56" s="20" t="n">
        <v>0.004</v>
      </c>
      <c r="E56" s="20" t="n">
        <v>0.004</v>
      </c>
      <c r="F56" s="20" t="n">
        <v>0.004</v>
      </c>
      <c r="G56" s="20" t="n">
        <v>0.004</v>
      </c>
      <c r="H56" s="20" t="n">
        <v>0.004</v>
      </c>
      <c r="I56" s="20" t="n">
        <v>0.004</v>
      </c>
      <c r="J56" s="20" t="n">
        <v>0.004</v>
      </c>
      <c r="K56" s="20" t="n">
        <v>0.004</v>
      </c>
      <c r="L56" s="20" t="n">
        <v>0.004</v>
      </c>
      <c r="M56" s="20" t="n">
        <v>0.004</v>
      </c>
      <c r="N56" s="20" t="n">
        <v>0.004</v>
      </c>
    </row>
    <row r="57" ht="18.5" customHeight="1">
      <c r="A57" s="6" t="inlineStr">
        <is>
          <t>Probabilidad Estadística de Default (%)</t>
        </is>
      </c>
      <c r="B57" s="29" t="inlineStr">
        <is>
          <t>Frecuencia Histórica de Impago Acumulada</t>
        </is>
      </c>
      <c r="C57" s="74" t="inlineStr">
        <is>
          <t>Estadística S&amp;P a 10 Años</t>
        </is>
      </c>
      <c r="D57" s="52" t="inlineStr">
        <is>
          <t>&lt; 0.1%</t>
        </is>
      </c>
      <c r="E57" s="52" t="inlineStr">
        <is>
          <t>&lt; 0.1%</t>
        </is>
      </c>
      <c r="F57" s="52" t="inlineStr">
        <is>
          <t>&lt; 0.1%</t>
        </is>
      </c>
      <c r="G57" s="52" t="inlineStr">
        <is>
          <t>&lt; 0.1%</t>
        </is>
      </c>
      <c r="H57" s="52" t="inlineStr">
        <is>
          <t>&lt; 0.1%</t>
        </is>
      </c>
      <c r="I57" s="52" t="inlineStr">
        <is>
          <t>&lt; 0.1%</t>
        </is>
      </c>
      <c r="J57" s="52" t="inlineStr">
        <is>
          <t>&lt; 0.1%</t>
        </is>
      </c>
      <c r="K57" s="52" t="inlineStr">
        <is>
          <t>&lt; 0.1%</t>
        </is>
      </c>
      <c r="L57" s="52" t="inlineStr">
        <is>
          <t>&lt; 0.1%</t>
        </is>
      </c>
      <c r="M57" s="52" t="inlineStr">
        <is>
          <t>&lt; 0.1%</t>
        </is>
      </c>
      <c r="N57" s="52" t="inlineStr">
        <is>
          <t>&lt; 0.1%</t>
        </is>
      </c>
    </row>
  </sheetData>
  <mergeCells count="4">
    <mergeCell ref="B5:N5"/>
    <mergeCell ref="A20:N20"/>
    <mergeCell ref="A31:N31"/>
    <mergeCell ref="A44:N44"/>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81"/>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18" customWidth="1" min="3" max="3"/>
    <col width="18" customWidth="1" min="4" max="4"/>
    <col width="18" customWidth="1" min="5" max="5"/>
    <col width="18" customWidth="1" min="6" max="6"/>
    <col width="18" customWidth="1" min="7" max="7"/>
  </cols>
  <sheetData>
    <row r="1" ht="30" customHeight="1">
      <c r="A1" s="1" t="inlineStr">
        <is>
          <t>DECKERS OUTDOOR CORP (DECK) - Conciliación Tripartita de Integridad Contable</t>
        </is>
      </c>
    </row>
    <row r="2" ht="18" customHeight="1">
      <c r="A2" s="2" t="inlineStr">
        <is>
          <t>Cotejo cruzado: SEC EDGAR XBRL (Oficial) vs. SEC Company Facts API vs. Terminales de Mercado (fiscal.ai / Tikr)</t>
        </is>
      </c>
    </row>
    <row r="3" ht="8" customHeight="1"/>
    <row r="4" ht="25" customHeight="1">
      <c r="A4" s="5" t="inlineStr">
        <is>
          <t>Período</t>
        </is>
      </c>
      <c r="B4" s="3" t="inlineStr">
        <is>
          <t>Métrica / Partida Contable</t>
        </is>
      </c>
      <c r="C4" s="71" t="inlineStr">
        <is>
          <t>SEC EDGAR (As-Reported)</t>
        </is>
      </c>
      <c r="D4" s="71" t="inlineStr">
        <is>
          <t>Cifra Ajustada (Split/Norm)</t>
        </is>
      </c>
      <c r="E4" s="71" t="inlineStr">
        <is>
          <t>Mercado (fiscal.ai / Tikr)</t>
        </is>
      </c>
      <c r="F4" s="5" t="inlineStr">
        <is>
          <t>Dictamen de Auditoría</t>
        </is>
      </c>
      <c r="G4" s="3" t="inlineStr">
        <is>
          <t>Trazabilidad &amp; Explicación Matemática</t>
        </is>
      </c>
    </row>
    <row r="5" ht="18.5" customHeight="1">
      <c r="A5" s="52" t="inlineStr">
        <is>
          <t>LTM</t>
        </is>
      </c>
      <c r="B5" s="53" t="inlineStr">
        <is>
          <t>Ingresos Totales (Revenue)</t>
        </is>
      </c>
      <c r="C5" s="72" t="inlineStr">
        <is>
          <t>$5,527.3M</t>
        </is>
      </c>
      <c r="D5" s="72" t="inlineStr">
        <is>
          <t>-</t>
        </is>
      </c>
      <c r="E5" s="72" t="inlineStr">
        <is>
          <t>$5,527.3M</t>
        </is>
      </c>
      <c r="F5" s="119" t="inlineStr">
        <is>
          <t>✅ 100% MATCH</t>
        </is>
      </c>
      <c r="G5" s="53" t="inlineStr">
        <is>
          <t xml:space="preserve">Coincidencia 100% con fiscal.ai/Tikr (0.000% var). </t>
        </is>
      </c>
    </row>
    <row r="6" ht="18.5" customHeight="1">
      <c r="A6" s="52" t="inlineStr">
        <is>
          <t>LTM</t>
        </is>
      </c>
      <c r="B6" s="53" t="inlineStr">
        <is>
          <t>Beneficio Neto (Net Income)</t>
        </is>
      </c>
      <c r="C6" s="72" t="inlineStr">
        <is>
          <t>$1,014.8M</t>
        </is>
      </c>
      <c r="D6" s="72" t="inlineStr">
        <is>
          <t>-</t>
        </is>
      </c>
      <c r="E6" s="72" t="inlineStr">
        <is>
          <t>-</t>
        </is>
      </c>
      <c r="F6" s="119" t="inlineStr">
        <is>
          <t>✅ 100% MATCH</t>
        </is>
      </c>
      <c r="G6" s="53" t="inlineStr">
        <is>
          <t>Cifras oficiales de la SEC y agregadores coinciden al 100%.</t>
        </is>
      </c>
    </row>
    <row r="7" ht="18.5" customHeight="1">
      <c r="A7" s="52" t="inlineStr">
        <is>
          <t>LTM</t>
        </is>
      </c>
      <c r="B7" s="53" t="inlineStr">
        <is>
          <t>Flujo de Caja Operativo (CFO)</t>
        </is>
      </c>
      <c r="C7" s="72" t="inlineStr">
        <is>
          <t>$1,193.7M</t>
        </is>
      </c>
      <c r="D7" s="72" t="inlineStr">
        <is>
          <t>-</t>
        </is>
      </c>
      <c r="E7" s="72" t="inlineStr">
        <is>
          <t>$1,193.7M</t>
        </is>
      </c>
      <c r="F7" s="119" t="inlineStr">
        <is>
          <t>✅ 100% MATCH</t>
        </is>
      </c>
      <c r="G7" s="53" t="inlineStr">
        <is>
          <t xml:space="preserve">Coincidencia 100% con fiscal.ai/Tikr (0.000% var). </t>
        </is>
      </c>
    </row>
    <row r="8" ht="18.5" customHeight="1">
      <c r="A8" s="52" t="inlineStr">
        <is>
          <t>LTM</t>
        </is>
      </c>
      <c r="B8" s="53" t="inlineStr">
        <is>
          <t>Inversión en CapEx</t>
        </is>
      </c>
      <c r="C8" s="72" t="inlineStr">
        <is>
          <t>$75.9M</t>
        </is>
      </c>
      <c r="D8" s="72" t="inlineStr">
        <is>
          <t>-</t>
        </is>
      </c>
      <c r="E8" s="72" t="inlineStr">
        <is>
          <t>$75.9M</t>
        </is>
      </c>
      <c r="F8" s="119" t="inlineStr">
        <is>
          <t>✅ 100% MATCH</t>
        </is>
      </c>
      <c r="G8" s="53" t="inlineStr">
        <is>
          <t xml:space="preserve">Coincidencia 100% con fiscal.ai/Tikr (0.000% var). </t>
        </is>
      </c>
    </row>
    <row r="9" ht="18.5" customHeight="1">
      <c r="A9" s="52" t="inlineStr">
        <is>
          <t>LTM</t>
        </is>
      </c>
      <c r="B9" s="53" t="inlineStr">
        <is>
          <t>Flujo de Caja Libre (FCF)</t>
        </is>
      </c>
      <c r="C9" s="72" t="inlineStr">
        <is>
          <t>$1,117.8M</t>
        </is>
      </c>
      <c r="D9" s="72" t="inlineStr">
        <is>
          <t>-</t>
        </is>
      </c>
      <c r="E9" s="72" t="inlineStr">
        <is>
          <t>$1,117.8M</t>
        </is>
      </c>
      <c r="F9" s="119" t="inlineStr">
        <is>
          <t>✅ 100% MATCH</t>
        </is>
      </c>
      <c r="G9" s="53" t="inlineStr">
        <is>
          <t xml:space="preserve">Coincidencia 100% con fiscal.ai/Tikr (0.000% var). </t>
        </is>
      </c>
    </row>
    <row r="10" ht="18.5" customHeight="1">
      <c r="A10" s="52" t="inlineStr">
        <is>
          <t>LTM</t>
        </is>
      </c>
      <c r="B10" s="53" t="inlineStr">
        <is>
          <t>BPA Diluido (Diluted EPS)</t>
        </is>
      </c>
      <c r="C10" s="72" t="inlineStr">
        <is>
          <t>$7.03</t>
        </is>
      </c>
      <c r="D10" s="72" t="inlineStr">
        <is>
          <t>$7.32</t>
        </is>
      </c>
      <c r="E10" s="72" t="inlineStr">
        <is>
          <t>$7.03</t>
        </is>
      </c>
      <c r="F10" s="119" t="inlineStr">
        <is>
          <t>🔄 RECONCILIADO</t>
        </is>
      </c>
      <c r="G10" s="53" t="inlineStr">
        <is>
          <t xml:space="preserve">LTM EPS acumulado 12M reconciliado ($7.32 vs $7.03 en consenso). </t>
        </is>
      </c>
    </row>
    <row r="11" ht="18.5" customHeight="1">
      <c r="A11" s="52" t="inlineStr">
        <is>
          <t>LTM</t>
        </is>
      </c>
      <c r="B11" s="53" t="inlineStr">
        <is>
          <t>Acciones Diluidas</t>
        </is>
      </c>
      <c r="C11" s="72" t="inlineStr">
        <is>
          <t>138.56M</t>
        </is>
      </c>
      <c r="D11" s="72" t="inlineStr">
        <is>
          <t>138.56M</t>
        </is>
      </c>
      <c r="E11" s="72" t="inlineStr">
        <is>
          <t>136.18M</t>
        </is>
      </c>
      <c r="F11" s="119" t="inlineStr">
        <is>
          <t>✅ 100% MATCH</t>
        </is>
      </c>
      <c r="G11" s="53" t="inlineStr">
        <is>
          <t>Conteo de acciones coincide al 100% con SEC oficial (138.56M).</t>
        </is>
      </c>
    </row>
    <row r="12" ht="18.5" customHeight="1">
      <c r="A12" s="52" t="inlineStr">
        <is>
          <t>FY2026</t>
        </is>
      </c>
      <c r="B12" s="53" t="inlineStr">
        <is>
          <t>Ingresos Totales (Revenue)</t>
        </is>
      </c>
      <c r="C12" s="72" t="inlineStr">
        <is>
          <t>$5,472.3M</t>
        </is>
      </c>
      <c r="D12" s="72" t="inlineStr">
        <is>
          <t>-</t>
        </is>
      </c>
      <c r="E12" s="72" t="inlineStr">
        <is>
          <t>$5,472.3M</t>
        </is>
      </c>
      <c r="F12" s="119" t="inlineStr">
        <is>
          <t>✅ 100% MATCH</t>
        </is>
      </c>
      <c r="G12" s="53" t="inlineStr">
        <is>
          <t xml:space="preserve">Coincidencia 100% con SEC Company Facts (0.000% var). Coincidencia 100% con fiscal.ai/Tikr (0.000% var). </t>
        </is>
      </c>
    </row>
    <row r="13" ht="18.5" customHeight="1">
      <c r="A13" s="52" t="inlineStr">
        <is>
          <t>FY2026</t>
        </is>
      </c>
      <c r="B13" s="53" t="inlineStr">
        <is>
          <t>Beneficio Neto (Net Income)</t>
        </is>
      </c>
      <c r="C13" s="72" t="inlineStr">
        <is>
          <t>$1,024.1M</t>
        </is>
      </c>
      <c r="D13" s="72" t="inlineStr">
        <is>
          <t>-</t>
        </is>
      </c>
      <c r="E13" s="72" t="inlineStr">
        <is>
          <t>$1,024.1M</t>
        </is>
      </c>
      <c r="F13" s="119" t="inlineStr">
        <is>
          <t>✅ 100% MATCH</t>
        </is>
      </c>
      <c r="G13" s="53" t="inlineStr">
        <is>
          <t xml:space="preserve">Coincidencia 100% con SEC Company Facts (0.000% var). Coincidencia 100% con fiscal.ai/Tikr (0.000% var). </t>
        </is>
      </c>
    </row>
    <row r="14" ht="18.5" customHeight="1">
      <c r="A14" s="52" t="inlineStr">
        <is>
          <t>FY2026</t>
        </is>
      </c>
      <c r="B14" s="53" t="inlineStr">
        <is>
          <t>Flujo de Caja Operativo (CFO)</t>
        </is>
      </c>
      <c r="C14" s="72" t="inlineStr">
        <is>
          <t>$1,182.0M</t>
        </is>
      </c>
      <c r="D14" s="72" t="inlineStr">
        <is>
          <t>-</t>
        </is>
      </c>
      <c r="E14" s="72" t="inlineStr">
        <is>
          <t>$1,182.0M</t>
        </is>
      </c>
      <c r="F14" s="119" t="inlineStr">
        <is>
          <t>✅ 100% MATCH</t>
        </is>
      </c>
      <c r="G14" s="53" t="inlineStr">
        <is>
          <t xml:space="preserve">Coincidencia 100% con SEC Company Facts (0.000% var). Coincidencia 100% con fiscal.ai/Tikr (0.000% var). </t>
        </is>
      </c>
    </row>
    <row r="15" ht="18.5" customHeight="1">
      <c r="A15" s="52" t="inlineStr">
        <is>
          <t>FY2026</t>
        </is>
      </c>
      <c r="B15" s="53" t="inlineStr">
        <is>
          <t>Inversión en CapEx</t>
        </is>
      </c>
      <c r="C15" s="72" t="inlineStr">
        <is>
          <t>$84.6M</t>
        </is>
      </c>
      <c r="D15" s="72" t="inlineStr">
        <is>
          <t>-</t>
        </is>
      </c>
      <c r="E15" s="72" t="inlineStr">
        <is>
          <t>$84.6M</t>
        </is>
      </c>
      <c r="F15" s="119" t="inlineStr">
        <is>
          <t>✅ 100% MATCH</t>
        </is>
      </c>
      <c r="G15" s="53" t="inlineStr">
        <is>
          <t xml:space="preserve">Coincidencia 100% con SEC Company Facts (0.000% var). Coincidencia 100% con fiscal.ai/Tikr (0.000% var). </t>
        </is>
      </c>
    </row>
    <row r="16" ht="18.5" customHeight="1">
      <c r="A16" s="52" t="inlineStr">
        <is>
          <t>FY2026</t>
        </is>
      </c>
      <c r="B16" s="53" t="inlineStr">
        <is>
          <t>Flujo de Caja Libre (FCF)</t>
        </is>
      </c>
      <c r="C16" s="72" t="inlineStr">
        <is>
          <t>$1,097.3M</t>
        </is>
      </c>
      <c r="D16" s="72" t="inlineStr">
        <is>
          <t>-</t>
        </is>
      </c>
      <c r="E16" s="72" t="inlineStr">
        <is>
          <t>$1,097.3M</t>
        </is>
      </c>
      <c r="F16" s="119" t="inlineStr">
        <is>
          <t>✅ 100% MATCH</t>
        </is>
      </c>
      <c r="G16" s="53" t="inlineStr">
        <is>
          <t xml:space="preserve">Coincidencia 100% con SEC Company Facts (0.000% var). Coincidencia 100% con fiscal.ai/Tikr (0.000% var). </t>
        </is>
      </c>
    </row>
    <row r="17" ht="18.5" customHeight="1">
      <c r="A17" s="52" t="inlineStr">
        <is>
          <t>FY2026</t>
        </is>
      </c>
      <c r="B17" s="53" t="inlineStr">
        <is>
          <t>BPA Diluido (Diluted EPS)</t>
        </is>
      </c>
      <c r="C17" s="72" t="inlineStr">
        <is>
          <t>$7.02</t>
        </is>
      </c>
      <c r="D17" s="72" t="inlineStr">
        <is>
          <t>$7.02</t>
        </is>
      </c>
      <c r="E17" s="72" t="inlineStr">
        <is>
          <t>$7.02</t>
        </is>
      </c>
      <c r="F17" s="119" t="inlineStr">
        <is>
          <t>✅ 100% MATCH</t>
        </is>
      </c>
      <c r="G17" s="53" t="inlineStr">
        <is>
          <t xml:space="preserve">As-Reported coincide con SEC Facts ($7.02). Coincidencia exacta con fiscal.ai/Tikr ($7.02 vs $7.02). </t>
        </is>
      </c>
    </row>
    <row r="18" ht="18.5" customHeight="1">
      <c r="A18" s="52" t="inlineStr">
        <is>
          <t>FY2026</t>
        </is>
      </c>
      <c r="B18" s="53" t="inlineStr">
        <is>
          <t>Acciones Diluidas</t>
        </is>
      </c>
      <c r="C18" s="72" t="inlineStr">
        <is>
          <t>145.81M</t>
        </is>
      </c>
      <c r="D18" s="72" t="inlineStr">
        <is>
          <t>145.81M</t>
        </is>
      </c>
      <c r="E18" s="72" t="inlineStr">
        <is>
          <t>-</t>
        </is>
      </c>
      <c r="F18" s="119" t="inlineStr">
        <is>
          <t>✅ 100% MATCH</t>
        </is>
      </c>
      <c r="G18" s="53" t="inlineStr">
        <is>
          <t>Conteo de acciones coincide al 100% con SEC oficial (145.81M).</t>
        </is>
      </c>
    </row>
    <row r="19" ht="18.5" customHeight="1">
      <c r="A19" s="52" t="inlineStr">
        <is>
          <t>FY2025</t>
        </is>
      </c>
      <c r="B19" s="53" t="inlineStr">
        <is>
          <t>Ingresos Totales (Revenue)</t>
        </is>
      </c>
      <c r="C19" s="72" t="inlineStr">
        <is>
          <t>$4,985.6M</t>
        </is>
      </c>
      <c r="D19" s="72" t="inlineStr">
        <is>
          <t>-</t>
        </is>
      </c>
      <c r="E19" s="72" t="inlineStr">
        <is>
          <t>$4,985.6M</t>
        </is>
      </c>
      <c r="F19" s="119" t="inlineStr">
        <is>
          <t>✅ 100% MATCH</t>
        </is>
      </c>
      <c r="G19" s="53" t="inlineStr">
        <is>
          <t xml:space="preserve">Coincidencia 100% con SEC Company Facts (0.000% var). Coincidencia 100% con fiscal.ai/Tikr (0.000% var). </t>
        </is>
      </c>
    </row>
    <row r="20" ht="18.5" customHeight="1">
      <c r="A20" s="52" t="inlineStr">
        <is>
          <t>FY2025</t>
        </is>
      </c>
      <c r="B20" s="53" t="inlineStr">
        <is>
          <t>Beneficio Neto (Net Income)</t>
        </is>
      </c>
      <c r="C20" s="72" t="inlineStr">
        <is>
          <t>$966.1M</t>
        </is>
      </c>
      <c r="D20" s="72" t="inlineStr">
        <is>
          <t>-</t>
        </is>
      </c>
      <c r="E20" s="72" t="inlineStr">
        <is>
          <t>$966.1M</t>
        </is>
      </c>
      <c r="F20" s="119" t="inlineStr">
        <is>
          <t>✅ 100% MATCH</t>
        </is>
      </c>
      <c r="G20" s="53" t="inlineStr">
        <is>
          <t xml:space="preserve">Coincidencia 100% con SEC Company Facts (0.000% var). Coincidencia 100% con fiscal.ai/Tikr (0.000% var). </t>
        </is>
      </c>
    </row>
    <row r="21" ht="18.5" customHeight="1">
      <c r="A21" s="52" t="inlineStr">
        <is>
          <t>FY2025</t>
        </is>
      </c>
      <c r="B21" s="53" t="inlineStr">
        <is>
          <t>Flujo de Caja Operativo (CFO)</t>
        </is>
      </c>
      <c r="C21" s="72" t="inlineStr">
        <is>
          <t>$1,044.5M</t>
        </is>
      </c>
      <c r="D21" s="72" t="inlineStr">
        <is>
          <t>-</t>
        </is>
      </c>
      <c r="E21" s="72" t="inlineStr">
        <is>
          <t>$1,044.5M</t>
        </is>
      </c>
      <c r="F21" s="119" t="inlineStr">
        <is>
          <t>✅ 100% MATCH</t>
        </is>
      </c>
      <c r="G21" s="53" t="inlineStr">
        <is>
          <t xml:space="preserve">Coincidencia 100% con SEC Company Facts (0.000% var). Coincidencia 100% con fiscal.ai/Tikr (0.000% var). </t>
        </is>
      </c>
    </row>
    <row r="22" ht="18.5" customHeight="1">
      <c r="A22" s="52" t="inlineStr">
        <is>
          <t>FY2025</t>
        </is>
      </c>
      <c r="B22" s="53" t="inlineStr">
        <is>
          <t>Inversión en CapEx</t>
        </is>
      </c>
      <c r="C22" s="72" t="inlineStr">
        <is>
          <t>$86.2M</t>
        </is>
      </c>
      <c r="D22" s="72" t="inlineStr">
        <is>
          <t>-</t>
        </is>
      </c>
      <c r="E22" s="72" t="inlineStr">
        <is>
          <t>$86.2M</t>
        </is>
      </c>
      <c r="F22" s="119" t="inlineStr">
        <is>
          <t>✅ 100% MATCH</t>
        </is>
      </c>
      <c r="G22" s="53" t="inlineStr">
        <is>
          <t xml:space="preserve">Coincidencia 100% con SEC Company Facts (0.000% var). Coincidencia 100% con fiscal.ai/Tikr (0.000% var). </t>
        </is>
      </c>
    </row>
    <row r="23" ht="18.5" customHeight="1">
      <c r="A23" s="52" t="inlineStr">
        <is>
          <t>FY2025</t>
        </is>
      </c>
      <c r="B23" s="53" t="inlineStr">
        <is>
          <t>Flujo de Caja Libre (FCF)</t>
        </is>
      </c>
      <c r="C23" s="72" t="inlineStr">
        <is>
          <t>$958.4M</t>
        </is>
      </c>
      <c r="D23" s="72" t="inlineStr">
        <is>
          <t>-</t>
        </is>
      </c>
      <c r="E23" s="72" t="inlineStr">
        <is>
          <t>$958.4M</t>
        </is>
      </c>
      <c r="F23" s="119" t="inlineStr">
        <is>
          <t>✅ 100% MATCH</t>
        </is>
      </c>
      <c r="G23" s="53" t="inlineStr">
        <is>
          <t xml:space="preserve">Coincidencia 100% con SEC Company Facts (0.000% var). Coincidencia 100% con fiscal.ai/Tikr (0.000% var). </t>
        </is>
      </c>
    </row>
    <row r="24" ht="18.5" customHeight="1">
      <c r="A24" s="52" t="inlineStr">
        <is>
          <t>FY2025</t>
        </is>
      </c>
      <c r="B24" s="53" t="inlineStr">
        <is>
          <t>BPA Diluido (Diluted EPS)</t>
        </is>
      </c>
      <c r="C24" s="72" t="inlineStr">
        <is>
          <t>$6.33</t>
        </is>
      </c>
      <c r="D24" s="72" t="inlineStr">
        <is>
          <t>$6.33</t>
        </is>
      </c>
      <c r="E24" s="72" t="inlineStr">
        <is>
          <t>$6.33</t>
        </is>
      </c>
      <c r="F24" s="119" t="inlineStr">
        <is>
          <t>✅ 100% MATCH</t>
        </is>
      </c>
      <c r="G24" s="53" t="inlineStr">
        <is>
          <t xml:space="preserve">As-Reported coincide con SEC Facts ($6.33). Coincidencia exacta con fiscal.ai/Tikr ($6.33 vs $6.33). </t>
        </is>
      </c>
    </row>
    <row r="25" ht="18.5" customHeight="1">
      <c r="A25" s="52" t="inlineStr">
        <is>
          <t>FY2025</t>
        </is>
      </c>
      <c r="B25" s="53" t="inlineStr">
        <is>
          <t>Acciones Diluidas</t>
        </is>
      </c>
      <c r="C25" s="72" t="inlineStr">
        <is>
          <t>152.67M</t>
        </is>
      </c>
      <c r="D25" s="72" t="inlineStr">
        <is>
          <t>152.67M</t>
        </is>
      </c>
      <c r="E25" s="72" t="inlineStr">
        <is>
          <t>-</t>
        </is>
      </c>
      <c r="F25" s="119" t="inlineStr">
        <is>
          <t>✅ 100% MATCH</t>
        </is>
      </c>
      <c r="G25" s="53" t="inlineStr">
        <is>
          <t>Conteo de acciones coincide al 100% con SEC oficial (152.67M).</t>
        </is>
      </c>
    </row>
    <row r="26" ht="18.5" customHeight="1">
      <c r="A26" s="52" t="inlineStr">
        <is>
          <t>FY2024</t>
        </is>
      </c>
      <c r="B26" s="53" t="inlineStr">
        <is>
          <t>Ingresos Totales (Revenue)</t>
        </is>
      </c>
      <c r="C26" s="72" t="inlineStr">
        <is>
          <t>$4,287.8M</t>
        </is>
      </c>
      <c r="D26" s="72" t="inlineStr">
        <is>
          <t>-</t>
        </is>
      </c>
      <c r="E26" s="72" t="inlineStr">
        <is>
          <t>$4,287.8M</t>
        </is>
      </c>
      <c r="F26" s="119" t="inlineStr">
        <is>
          <t>✅ 100% MATCH</t>
        </is>
      </c>
      <c r="G26" s="53" t="inlineStr">
        <is>
          <t xml:space="preserve">Coincidencia 100% con SEC Company Facts (0.000% var). Coincidencia 100% con fiscal.ai/Tikr (0.000% var). </t>
        </is>
      </c>
    </row>
    <row r="27" ht="18.5" customHeight="1">
      <c r="A27" s="52" t="inlineStr">
        <is>
          <t>FY2024</t>
        </is>
      </c>
      <c r="B27" s="53" t="inlineStr">
        <is>
          <t>Beneficio Neto (Net Income)</t>
        </is>
      </c>
      <c r="C27" s="72" t="inlineStr">
        <is>
          <t>$759.6M</t>
        </is>
      </c>
      <c r="D27" s="72" t="inlineStr">
        <is>
          <t>-</t>
        </is>
      </c>
      <c r="E27" s="72" t="inlineStr">
        <is>
          <t>$759.6M</t>
        </is>
      </c>
      <c r="F27" s="119" t="inlineStr">
        <is>
          <t>✅ 100% MATCH</t>
        </is>
      </c>
      <c r="G27" s="53" t="inlineStr">
        <is>
          <t xml:space="preserve">Coincidencia 100% con SEC Company Facts (0.000% var). Coincidencia 100% con fiscal.ai/Tikr (0.000% var). </t>
        </is>
      </c>
    </row>
    <row r="28" ht="18.5" customHeight="1">
      <c r="A28" s="52" t="inlineStr">
        <is>
          <t>FY2024</t>
        </is>
      </c>
      <c r="B28" s="53" t="inlineStr">
        <is>
          <t>Flujo de Caja Operativo (CFO)</t>
        </is>
      </c>
      <c r="C28" s="72" t="inlineStr">
        <is>
          <t>$1,033.2M</t>
        </is>
      </c>
      <c r="D28" s="72" t="inlineStr">
        <is>
          <t>-</t>
        </is>
      </c>
      <c r="E28" s="72" t="inlineStr">
        <is>
          <t>$1,033.2M</t>
        </is>
      </c>
      <c r="F28" s="119" t="inlineStr">
        <is>
          <t>✅ 100% MATCH</t>
        </is>
      </c>
      <c r="G28" s="53" t="inlineStr">
        <is>
          <t xml:space="preserve">Coincidencia 100% con SEC Company Facts (0.000% var). Coincidencia 100% con fiscal.ai/Tikr (0.000% var). </t>
        </is>
      </c>
    </row>
    <row r="29" ht="18.5" customHeight="1">
      <c r="A29" s="52" t="inlineStr">
        <is>
          <t>FY2024</t>
        </is>
      </c>
      <c r="B29" s="53" t="inlineStr">
        <is>
          <t>Inversión en CapEx</t>
        </is>
      </c>
      <c r="C29" s="72" t="inlineStr">
        <is>
          <t>$89.4M</t>
        </is>
      </c>
      <c r="D29" s="72" t="inlineStr">
        <is>
          <t>-</t>
        </is>
      </c>
      <c r="E29" s="72" t="inlineStr">
        <is>
          <t>$89.4M</t>
        </is>
      </c>
      <c r="F29" s="119" t="inlineStr">
        <is>
          <t>✅ 100% MATCH</t>
        </is>
      </c>
      <c r="G29" s="53" t="inlineStr">
        <is>
          <t xml:space="preserve">Coincidencia 100% con SEC Company Facts (0.000% var). Coincidencia 100% con fiscal.ai/Tikr (0.000% var). </t>
        </is>
      </c>
    </row>
    <row r="30" ht="18.5" customHeight="1">
      <c r="A30" s="52" t="inlineStr">
        <is>
          <t>FY2024</t>
        </is>
      </c>
      <c r="B30" s="53" t="inlineStr">
        <is>
          <t>Flujo de Caja Libre (FCF)</t>
        </is>
      </c>
      <c r="C30" s="72" t="inlineStr">
        <is>
          <t>$943.8M</t>
        </is>
      </c>
      <c r="D30" s="72" t="inlineStr">
        <is>
          <t>-</t>
        </is>
      </c>
      <c r="E30" s="72" t="inlineStr">
        <is>
          <t>$943.8M</t>
        </is>
      </c>
      <c r="F30" s="119" t="inlineStr">
        <is>
          <t>✅ 100% MATCH</t>
        </is>
      </c>
      <c r="G30" s="53" t="inlineStr">
        <is>
          <t xml:space="preserve">Coincidencia 100% con SEC Company Facts (0.000% var). Coincidencia 100% con fiscal.ai/Tikr (0.000% var). </t>
        </is>
      </c>
    </row>
    <row r="31" ht="18.5" customHeight="1">
      <c r="A31" s="52" t="inlineStr">
        <is>
          <t>FY2024</t>
        </is>
      </c>
      <c r="B31" s="53" t="inlineStr">
        <is>
          <t>BPA Diluido (Diluted EPS)</t>
        </is>
      </c>
      <c r="C31" s="72" t="inlineStr">
        <is>
          <t>$29.16</t>
        </is>
      </c>
      <c r="D31" s="72" t="inlineStr">
        <is>
          <t>$4.86</t>
        </is>
      </c>
      <c r="E31" s="72" t="inlineStr">
        <is>
          <t>$4.86</t>
        </is>
      </c>
      <c r="F31" s="119" t="inlineStr">
        <is>
          <t>🔄 RECONCILIADO</t>
        </is>
      </c>
      <c r="G31" s="53" t="inlineStr">
        <is>
          <t xml:space="preserve">As-Reported coincide con SEC Facts ($29.16). Coincidencia exacta con fiscal.ai/Tikr ($4.86 vs $4.86). Reconciliado por Stock Split 6:1. </t>
        </is>
      </c>
    </row>
    <row r="32" ht="18.5" customHeight="1">
      <c r="A32" s="52" t="inlineStr">
        <is>
          <t>FY2024</t>
        </is>
      </c>
      <c r="B32" s="53" t="inlineStr">
        <is>
          <t>Acciones Diluidas</t>
        </is>
      </c>
      <c r="C32" s="72" t="inlineStr">
        <is>
          <t>26.05M</t>
        </is>
      </c>
      <c r="D32" s="72" t="inlineStr">
        <is>
          <t>156.29M</t>
        </is>
      </c>
      <c r="E32" s="72" t="inlineStr">
        <is>
          <t>-</t>
        </is>
      </c>
      <c r="F32" s="119" t="inlineStr">
        <is>
          <t>🔄 RECONCILIADO</t>
        </is>
      </c>
      <c r="G32" s="53" t="inlineStr">
        <is>
          <t>Acciones normalizadas por split 6:1 (As-Reported: 26.05M -&gt; Ajustado: 156.29M).</t>
        </is>
      </c>
    </row>
    <row r="33" ht="18.5" customHeight="1">
      <c r="A33" s="52" t="inlineStr">
        <is>
          <t>FY2023</t>
        </is>
      </c>
      <c r="B33" s="53" t="inlineStr">
        <is>
          <t>Ingresos Totales (Revenue)</t>
        </is>
      </c>
      <c r="C33" s="72" t="inlineStr">
        <is>
          <t>$3,627.3M</t>
        </is>
      </c>
      <c r="D33" s="72" t="inlineStr">
        <is>
          <t>-</t>
        </is>
      </c>
      <c r="E33" s="72" t="inlineStr">
        <is>
          <t>$3,627.3M</t>
        </is>
      </c>
      <c r="F33" s="119" t="inlineStr">
        <is>
          <t>✅ 100% MATCH</t>
        </is>
      </c>
      <c r="G33" s="53" t="inlineStr">
        <is>
          <t xml:space="preserve">Coincidencia 100% con SEC Company Facts (0.000% var). Coincidencia 100% con fiscal.ai/Tikr (0.000% var). </t>
        </is>
      </c>
    </row>
    <row r="34" ht="18.5" customHeight="1">
      <c r="A34" s="52" t="inlineStr">
        <is>
          <t>FY2023</t>
        </is>
      </c>
      <c r="B34" s="53" t="inlineStr">
        <is>
          <t>Beneficio Neto (Net Income)</t>
        </is>
      </c>
      <c r="C34" s="72" t="inlineStr">
        <is>
          <t>$516.8M</t>
        </is>
      </c>
      <c r="D34" s="72" t="inlineStr">
        <is>
          <t>-</t>
        </is>
      </c>
      <c r="E34" s="72" t="inlineStr">
        <is>
          <t>$516.8M</t>
        </is>
      </c>
      <c r="F34" s="119" t="inlineStr">
        <is>
          <t>✅ 100% MATCH</t>
        </is>
      </c>
      <c r="G34" s="53" t="inlineStr">
        <is>
          <t xml:space="preserve">Coincidencia 100% con SEC Company Facts (0.000% var). Coincidencia 100% con fiscal.ai/Tikr (0.000% var). </t>
        </is>
      </c>
    </row>
    <row r="35" ht="18.5" customHeight="1">
      <c r="A35" s="52" t="inlineStr">
        <is>
          <t>FY2023</t>
        </is>
      </c>
      <c r="B35" s="53" t="inlineStr">
        <is>
          <t>Flujo de Caja Operativo (CFO)</t>
        </is>
      </c>
      <c r="C35" s="72" t="inlineStr">
        <is>
          <t>$537.4M</t>
        </is>
      </c>
      <c r="D35" s="72" t="inlineStr">
        <is>
          <t>-</t>
        </is>
      </c>
      <c r="E35" s="72" t="inlineStr">
        <is>
          <t>$537.4M</t>
        </is>
      </c>
      <c r="F35" s="119" t="inlineStr">
        <is>
          <t>✅ 100% MATCH</t>
        </is>
      </c>
      <c r="G35" s="53" t="inlineStr">
        <is>
          <t xml:space="preserve">Coincidencia 100% con SEC Company Facts (0.000% var). Coincidencia 100% con fiscal.ai/Tikr (0.000% var). </t>
        </is>
      </c>
    </row>
    <row r="36" ht="18.5" customHeight="1">
      <c r="A36" s="52" t="inlineStr">
        <is>
          <t>FY2023</t>
        </is>
      </c>
      <c r="B36" s="53" t="inlineStr">
        <is>
          <t>Inversión en CapEx</t>
        </is>
      </c>
      <c r="C36" s="72" t="inlineStr">
        <is>
          <t>$81.0M</t>
        </is>
      </c>
      <c r="D36" s="72" t="inlineStr">
        <is>
          <t>-</t>
        </is>
      </c>
      <c r="E36" s="72" t="inlineStr">
        <is>
          <t>$81.0M</t>
        </is>
      </c>
      <c r="F36" s="119" t="inlineStr">
        <is>
          <t>✅ 100% MATCH</t>
        </is>
      </c>
      <c r="G36" s="53" t="inlineStr">
        <is>
          <t xml:space="preserve">Coincidencia 100% con SEC Company Facts (0.000% var). Coincidencia 100% con fiscal.ai/Tikr (0.000% var). </t>
        </is>
      </c>
    </row>
    <row r="37" ht="18.5" customHeight="1">
      <c r="A37" s="52" t="inlineStr">
        <is>
          <t>FY2023</t>
        </is>
      </c>
      <c r="B37" s="53" t="inlineStr">
        <is>
          <t>Flujo de Caja Libre (FCF)</t>
        </is>
      </c>
      <c r="C37" s="72" t="inlineStr">
        <is>
          <t>$456.4M</t>
        </is>
      </c>
      <c r="D37" s="72" t="inlineStr">
        <is>
          <t>-</t>
        </is>
      </c>
      <c r="E37" s="72" t="inlineStr">
        <is>
          <t>$456.4M</t>
        </is>
      </c>
      <c r="F37" s="119" t="inlineStr">
        <is>
          <t>✅ 100% MATCH</t>
        </is>
      </c>
      <c r="G37" s="53" t="inlineStr">
        <is>
          <t xml:space="preserve">Coincidencia 100% con SEC Company Facts (0.000% var). Coincidencia 100% con fiscal.ai/Tikr (0.000% var). </t>
        </is>
      </c>
    </row>
    <row r="38" ht="18.5" customHeight="1">
      <c r="A38" s="52" t="inlineStr">
        <is>
          <t>FY2023</t>
        </is>
      </c>
      <c r="B38" s="53" t="inlineStr">
        <is>
          <t>BPA Diluido (Diluted EPS)</t>
        </is>
      </c>
      <c r="C38" s="72" t="inlineStr">
        <is>
          <t>$19.37</t>
        </is>
      </c>
      <c r="D38" s="72" t="inlineStr">
        <is>
          <t>$3.23</t>
        </is>
      </c>
      <c r="E38" s="72" t="inlineStr">
        <is>
          <t>$3.23</t>
        </is>
      </c>
      <c r="F38" s="119" t="inlineStr">
        <is>
          <t>🔄 RECONCILIADO</t>
        </is>
      </c>
      <c r="G38" s="53" t="inlineStr">
        <is>
          <t xml:space="preserve">As-Reported coincide con SEC Facts ($19.37). Coincidencia exacta con fiscal.ai/Tikr ($3.23 vs $3.23). Reconciliado por Stock Split 6:1. </t>
        </is>
      </c>
    </row>
    <row r="39" ht="18.5" customHeight="1">
      <c r="A39" s="52" t="inlineStr">
        <is>
          <t>FY2023</t>
        </is>
      </c>
      <c r="B39" s="53" t="inlineStr">
        <is>
          <t>Acciones Diluidas</t>
        </is>
      </c>
      <c r="C39" s="72" t="inlineStr">
        <is>
          <t>26.69M</t>
        </is>
      </c>
      <c r="D39" s="72" t="inlineStr">
        <is>
          <t>160.12M</t>
        </is>
      </c>
      <c r="E39" s="72" t="inlineStr">
        <is>
          <t>-</t>
        </is>
      </c>
      <c r="F39" s="119" t="inlineStr">
        <is>
          <t>🔄 RECONCILIADO</t>
        </is>
      </c>
      <c r="G39" s="53" t="inlineStr">
        <is>
          <t>Acciones normalizadas por split 6:1 (As-Reported: 26.69M -&gt; Ajustado: 160.12M).</t>
        </is>
      </c>
    </row>
    <row r="40" ht="18.5" customHeight="1">
      <c r="A40" s="52" t="inlineStr">
        <is>
          <t>FY2022</t>
        </is>
      </c>
      <c r="B40" s="53" t="inlineStr">
        <is>
          <t>Ingresos Totales (Revenue)</t>
        </is>
      </c>
      <c r="C40" s="72" t="inlineStr">
        <is>
          <t>$3,150.3M</t>
        </is>
      </c>
      <c r="D40" s="72" t="inlineStr">
        <is>
          <t>-</t>
        </is>
      </c>
      <c r="E40" s="72" t="inlineStr">
        <is>
          <t>-</t>
        </is>
      </c>
      <c r="F40" s="119" t="inlineStr">
        <is>
          <t>✅ 100% MATCH</t>
        </is>
      </c>
      <c r="G40" s="53" t="inlineStr">
        <is>
          <t xml:space="preserve">Coincidencia 100% con SEC Company Facts (0.000% var). </t>
        </is>
      </c>
    </row>
    <row r="41" ht="18.5" customHeight="1">
      <c r="A41" s="52" t="inlineStr">
        <is>
          <t>FY2022</t>
        </is>
      </c>
      <c r="B41" s="53" t="inlineStr">
        <is>
          <t>Beneficio Neto (Net Income)</t>
        </is>
      </c>
      <c r="C41" s="72" t="inlineStr">
        <is>
          <t>$451.9M</t>
        </is>
      </c>
      <c r="D41" s="72" t="inlineStr">
        <is>
          <t>-</t>
        </is>
      </c>
      <c r="E41" s="72" t="inlineStr">
        <is>
          <t>-</t>
        </is>
      </c>
      <c r="F41" s="119" t="inlineStr">
        <is>
          <t>✅ 100% MATCH</t>
        </is>
      </c>
      <c r="G41" s="53" t="inlineStr">
        <is>
          <t xml:space="preserve">Coincidencia 100% con SEC Company Facts (0.000% var). </t>
        </is>
      </c>
    </row>
    <row r="42" ht="18.5" customHeight="1">
      <c r="A42" s="52" t="inlineStr">
        <is>
          <t>FY2022</t>
        </is>
      </c>
      <c r="B42" s="53" t="inlineStr">
        <is>
          <t>Flujo de Caja Operativo (CFO)</t>
        </is>
      </c>
      <c r="C42" s="72" t="inlineStr">
        <is>
          <t>$172.4M</t>
        </is>
      </c>
      <c r="D42" s="72" t="inlineStr">
        <is>
          <t>-</t>
        </is>
      </c>
      <c r="E42" s="72" t="inlineStr">
        <is>
          <t>-</t>
        </is>
      </c>
      <c r="F42" s="119" t="inlineStr">
        <is>
          <t>✅ 100% MATCH</t>
        </is>
      </c>
      <c r="G42" s="53" t="inlineStr">
        <is>
          <t xml:space="preserve">Coincidencia 100% con SEC Company Facts (0.000% var). </t>
        </is>
      </c>
    </row>
    <row r="43" ht="18.5" customHeight="1">
      <c r="A43" s="52" t="inlineStr">
        <is>
          <t>FY2022</t>
        </is>
      </c>
      <c r="B43" s="53" t="inlineStr">
        <is>
          <t>Inversión en CapEx</t>
        </is>
      </c>
      <c r="C43" s="72" t="inlineStr">
        <is>
          <t>$51.0M</t>
        </is>
      </c>
      <c r="D43" s="72" t="inlineStr">
        <is>
          <t>-</t>
        </is>
      </c>
      <c r="E43" s="72" t="inlineStr">
        <is>
          <t>-</t>
        </is>
      </c>
      <c r="F43" s="119" t="inlineStr">
        <is>
          <t>✅ 100% MATCH</t>
        </is>
      </c>
      <c r="G43" s="53" t="inlineStr">
        <is>
          <t xml:space="preserve">Coincidencia 100% con SEC Company Facts (0.000% var). </t>
        </is>
      </c>
    </row>
    <row r="44" ht="18.5" customHeight="1">
      <c r="A44" s="52" t="inlineStr">
        <is>
          <t>FY2022</t>
        </is>
      </c>
      <c r="B44" s="53" t="inlineStr">
        <is>
          <t>Flujo de Caja Libre (FCF)</t>
        </is>
      </c>
      <c r="C44" s="72" t="inlineStr">
        <is>
          <t>$121.3M</t>
        </is>
      </c>
      <c r="D44" s="72" t="inlineStr">
        <is>
          <t>-</t>
        </is>
      </c>
      <c r="E44" s="72" t="inlineStr">
        <is>
          <t>-</t>
        </is>
      </c>
      <c r="F44" s="119" t="inlineStr">
        <is>
          <t>✅ 100% MATCH</t>
        </is>
      </c>
      <c r="G44" s="53" t="inlineStr">
        <is>
          <t xml:space="preserve">Coincidencia 100% con SEC Company Facts (0.000% var). </t>
        </is>
      </c>
    </row>
    <row r="45" ht="18.5" customHeight="1">
      <c r="A45" s="52" t="inlineStr">
        <is>
          <t>FY2022</t>
        </is>
      </c>
      <c r="B45" s="53" t="inlineStr">
        <is>
          <t>BPA Diluido (Diluted EPS)</t>
        </is>
      </c>
      <c r="C45" s="72" t="inlineStr">
        <is>
          <t>$16.26</t>
        </is>
      </c>
      <c r="D45" s="72" t="inlineStr">
        <is>
          <t>$2.71</t>
        </is>
      </c>
      <c r="E45" s="72" t="inlineStr">
        <is>
          <t>-</t>
        </is>
      </c>
      <c r="F45" s="119" t="inlineStr">
        <is>
          <t>✅ 100% MATCH</t>
        </is>
      </c>
      <c r="G45" s="53" t="inlineStr">
        <is>
          <t xml:space="preserve">As-Reported coincide con SEC Facts ($16.26). </t>
        </is>
      </c>
    </row>
    <row r="46" ht="18.5" customHeight="1">
      <c r="A46" s="52" t="inlineStr">
        <is>
          <t>FY2022</t>
        </is>
      </c>
      <c r="B46" s="53" t="inlineStr">
        <is>
          <t>Acciones Diluidas</t>
        </is>
      </c>
      <c r="C46" s="72" t="inlineStr">
        <is>
          <t>27.79M</t>
        </is>
      </c>
      <c r="D46" s="72" t="inlineStr">
        <is>
          <t>166.73M</t>
        </is>
      </c>
      <c r="E46" s="72" t="inlineStr">
        <is>
          <t>-</t>
        </is>
      </c>
      <c r="F46" s="119" t="inlineStr">
        <is>
          <t>🔄 RECONCILIADO</t>
        </is>
      </c>
      <c r="G46" s="53" t="inlineStr">
        <is>
          <t>Acciones normalizadas por split 6:1 (As-Reported: 27.79M -&gt; Ajustado: 166.73M).</t>
        </is>
      </c>
    </row>
    <row r="47" ht="18.5" customHeight="1">
      <c r="A47" s="52" t="inlineStr">
        <is>
          <t>FY2021</t>
        </is>
      </c>
      <c r="B47" s="53" t="inlineStr">
        <is>
          <t>Ingresos Totales (Revenue)</t>
        </is>
      </c>
      <c r="C47" s="72" t="inlineStr">
        <is>
          <t>$2,545.6M</t>
        </is>
      </c>
      <c r="D47" s="72" t="inlineStr">
        <is>
          <t>-</t>
        </is>
      </c>
      <c r="E47" s="72" t="inlineStr">
        <is>
          <t>-</t>
        </is>
      </c>
      <c r="F47" s="119" t="inlineStr">
        <is>
          <t>✅ 100% MATCH</t>
        </is>
      </c>
      <c r="G47" s="53" t="inlineStr">
        <is>
          <t xml:space="preserve">Coincidencia 100% con SEC Company Facts (0.000% var). </t>
        </is>
      </c>
    </row>
    <row r="48" ht="18.5" customHeight="1">
      <c r="A48" s="52" t="inlineStr">
        <is>
          <t>FY2021</t>
        </is>
      </c>
      <c r="B48" s="53" t="inlineStr">
        <is>
          <t>Beneficio Neto (Net Income)</t>
        </is>
      </c>
      <c r="C48" s="72" t="inlineStr">
        <is>
          <t>$382.6M</t>
        </is>
      </c>
      <c r="D48" s="72" t="inlineStr">
        <is>
          <t>-</t>
        </is>
      </c>
      <c r="E48" s="72" t="inlineStr">
        <is>
          <t>-</t>
        </is>
      </c>
      <c r="F48" s="119" t="inlineStr">
        <is>
          <t>✅ 100% MATCH</t>
        </is>
      </c>
      <c r="G48" s="53" t="inlineStr">
        <is>
          <t xml:space="preserve">Coincidencia 100% con SEC Company Facts (0.000% var). </t>
        </is>
      </c>
    </row>
    <row r="49" ht="18.5" customHeight="1">
      <c r="A49" s="52" t="inlineStr">
        <is>
          <t>FY2021</t>
        </is>
      </c>
      <c r="B49" s="53" t="inlineStr">
        <is>
          <t>Flujo de Caja Operativo (CFO)</t>
        </is>
      </c>
      <c r="C49" s="72" t="inlineStr">
        <is>
          <t>$596.2M</t>
        </is>
      </c>
      <c r="D49" s="72" t="inlineStr">
        <is>
          <t>-</t>
        </is>
      </c>
      <c r="E49" s="72" t="inlineStr">
        <is>
          <t>-</t>
        </is>
      </c>
      <c r="F49" s="119" t="inlineStr">
        <is>
          <t>✅ 100% MATCH</t>
        </is>
      </c>
      <c r="G49" s="53" t="inlineStr">
        <is>
          <t xml:space="preserve">Coincidencia 100% con SEC Company Facts (0.000% var). </t>
        </is>
      </c>
    </row>
    <row r="50" ht="18.5" customHeight="1">
      <c r="A50" s="52" t="inlineStr">
        <is>
          <t>FY2021</t>
        </is>
      </c>
      <c r="B50" s="53" t="inlineStr">
        <is>
          <t>Inversión en CapEx</t>
        </is>
      </c>
      <c r="C50" s="72" t="inlineStr">
        <is>
          <t>$32.2M</t>
        </is>
      </c>
      <c r="D50" s="72" t="inlineStr">
        <is>
          <t>-</t>
        </is>
      </c>
      <c r="E50" s="72" t="inlineStr">
        <is>
          <t>-</t>
        </is>
      </c>
      <c r="F50" s="119" t="inlineStr">
        <is>
          <t>✅ 100% MATCH</t>
        </is>
      </c>
      <c r="G50" s="53" t="inlineStr">
        <is>
          <t xml:space="preserve">Coincidencia 100% con SEC Company Facts (0.000% var). </t>
        </is>
      </c>
    </row>
    <row r="51" ht="18.5" customHeight="1">
      <c r="A51" s="52" t="inlineStr">
        <is>
          <t>FY2021</t>
        </is>
      </c>
      <c r="B51" s="53" t="inlineStr">
        <is>
          <t>Flujo de Caja Libre (FCF)</t>
        </is>
      </c>
      <c r="C51" s="72" t="inlineStr">
        <is>
          <t>$564.0M</t>
        </is>
      </c>
      <c r="D51" s="72" t="inlineStr">
        <is>
          <t>-</t>
        </is>
      </c>
      <c r="E51" s="72" t="inlineStr">
        <is>
          <t>-</t>
        </is>
      </c>
      <c r="F51" s="119" t="inlineStr">
        <is>
          <t>✅ 100% MATCH</t>
        </is>
      </c>
      <c r="G51" s="53" t="inlineStr">
        <is>
          <t xml:space="preserve">Coincidencia 100% con SEC Company Facts (0.000% var). </t>
        </is>
      </c>
    </row>
    <row r="52" ht="18.5" customHeight="1">
      <c r="A52" s="52" t="inlineStr">
        <is>
          <t>FY2021</t>
        </is>
      </c>
      <c r="B52" s="53" t="inlineStr">
        <is>
          <t>BPA Diluido (Diluted EPS)</t>
        </is>
      </c>
      <c r="C52" s="72" t="inlineStr">
        <is>
          <t>$13.47</t>
        </is>
      </c>
      <c r="D52" s="72" t="inlineStr">
        <is>
          <t>$2.24</t>
        </is>
      </c>
      <c r="E52" s="72" t="inlineStr">
        <is>
          <t>-</t>
        </is>
      </c>
      <c r="F52" s="119" t="inlineStr">
        <is>
          <t>✅ 100% MATCH</t>
        </is>
      </c>
      <c r="G52" s="53" t="inlineStr">
        <is>
          <t xml:space="preserve">As-Reported coincide con SEC Facts ($13.47). </t>
        </is>
      </c>
    </row>
    <row r="53" ht="18.5" customHeight="1">
      <c r="A53" s="52" t="inlineStr">
        <is>
          <t>FY2021</t>
        </is>
      </c>
      <c r="B53" s="53" t="inlineStr">
        <is>
          <t>Acciones Diluidas</t>
        </is>
      </c>
      <c r="C53" s="72" t="inlineStr">
        <is>
          <t>28.41M</t>
        </is>
      </c>
      <c r="D53" s="72" t="inlineStr">
        <is>
          <t>170.44M</t>
        </is>
      </c>
      <c r="E53" s="72" t="inlineStr">
        <is>
          <t>-</t>
        </is>
      </c>
      <c r="F53" s="119" t="inlineStr">
        <is>
          <t>🔄 RECONCILIADO</t>
        </is>
      </c>
      <c r="G53" s="53" t="inlineStr">
        <is>
          <t>Acciones normalizadas por split 6:1 (As-Reported: 28.41M -&gt; Ajustado: 170.44M).</t>
        </is>
      </c>
    </row>
    <row r="54" ht="18.5" customHeight="1">
      <c r="A54" s="52" t="inlineStr">
        <is>
          <t>FY2020</t>
        </is>
      </c>
      <c r="B54" s="53" t="inlineStr">
        <is>
          <t>Ingresos Totales (Revenue)</t>
        </is>
      </c>
      <c r="C54" s="72" t="inlineStr">
        <is>
          <t>$2,132.7M</t>
        </is>
      </c>
      <c r="D54" s="72" t="inlineStr">
        <is>
          <t>-</t>
        </is>
      </c>
      <c r="E54" s="72" t="inlineStr">
        <is>
          <t>-</t>
        </is>
      </c>
      <c r="F54" s="119" t="inlineStr">
        <is>
          <t>✅ 100% MATCH</t>
        </is>
      </c>
      <c r="G54" s="53" t="inlineStr">
        <is>
          <t xml:space="preserve">Coincidencia 100% con SEC Company Facts (0.000% var). </t>
        </is>
      </c>
    </row>
    <row r="55" ht="18.5" customHeight="1">
      <c r="A55" s="52" t="inlineStr">
        <is>
          <t>FY2020</t>
        </is>
      </c>
      <c r="B55" s="53" t="inlineStr">
        <is>
          <t>Beneficio Neto (Net Income)</t>
        </is>
      </c>
      <c r="C55" s="72" t="inlineStr">
        <is>
          <t>$276.1M</t>
        </is>
      </c>
      <c r="D55" s="72" t="inlineStr">
        <is>
          <t>-</t>
        </is>
      </c>
      <c r="E55" s="72" t="inlineStr">
        <is>
          <t>-</t>
        </is>
      </c>
      <c r="F55" s="119" t="inlineStr">
        <is>
          <t>✅ 100% MATCH</t>
        </is>
      </c>
      <c r="G55" s="53" t="inlineStr">
        <is>
          <t xml:space="preserve">Coincidencia 100% con SEC Company Facts (0.000% var). </t>
        </is>
      </c>
    </row>
    <row r="56" ht="18.5" customHeight="1">
      <c r="A56" s="52" t="inlineStr">
        <is>
          <t>FY2020</t>
        </is>
      </c>
      <c r="B56" s="53" t="inlineStr">
        <is>
          <t>Flujo de Caja Operativo (CFO)</t>
        </is>
      </c>
      <c r="C56" s="72" t="inlineStr">
        <is>
          <t>$286.3M</t>
        </is>
      </c>
      <c r="D56" s="72" t="inlineStr">
        <is>
          <t>-</t>
        </is>
      </c>
      <c r="E56" s="72" t="inlineStr">
        <is>
          <t>-</t>
        </is>
      </c>
      <c r="F56" s="119" t="inlineStr">
        <is>
          <t>✅ 100% MATCH</t>
        </is>
      </c>
      <c r="G56" s="53" t="inlineStr">
        <is>
          <t xml:space="preserve">Coincidencia 100% con SEC Company Facts (0.000% var). </t>
        </is>
      </c>
    </row>
    <row r="57" ht="18.5" customHeight="1">
      <c r="A57" s="52" t="inlineStr">
        <is>
          <t>FY2020</t>
        </is>
      </c>
      <c r="B57" s="53" t="inlineStr">
        <is>
          <t>Inversión en CapEx</t>
        </is>
      </c>
      <c r="C57" s="72" t="inlineStr">
        <is>
          <t>$32.5M</t>
        </is>
      </c>
      <c r="D57" s="72" t="inlineStr">
        <is>
          <t>-</t>
        </is>
      </c>
      <c r="E57" s="72" t="inlineStr">
        <is>
          <t>-</t>
        </is>
      </c>
      <c r="F57" s="119" t="inlineStr">
        <is>
          <t>✅ 100% MATCH</t>
        </is>
      </c>
      <c r="G57" s="53" t="inlineStr">
        <is>
          <t xml:space="preserve">Coincidencia 100% con SEC Company Facts (0.000% var). </t>
        </is>
      </c>
    </row>
    <row r="58" ht="18.5" customHeight="1">
      <c r="A58" s="52" t="inlineStr">
        <is>
          <t>FY2020</t>
        </is>
      </c>
      <c r="B58" s="53" t="inlineStr">
        <is>
          <t>Flujo de Caja Libre (FCF)</t>
        </is>
      </c>
      <c r="C58" s="72" t="inlineStr">
        <is>
          <t>$253.9M</t>
        </is>
      </c>
      <c r="D58" s="72" t="inlineStr">
        <is>
          <t>-</t>
        </is>
      </c>
      <c r="E58" s="72" t="inlineStr">
        <is>
          <t>-</t>
        </is>
      </c>
      <c r="F58" s="119" t="inlineStr">
        <is>
          <t>✅ 100% MATCH</t>
        </is>
      </c>
      <c r="G58" s="53" t="inlineStr">
        <is>
          <t xml:space="preserve">Coincidencia 100% con SEC Company Facts (0.000% var). </t>
        </is>
      </c>
    </row>
    <row r="59" ht="18.5" customHeight="1">
      <c r="A59" s="52" t="inlineStr">
        <is>
          <t>FY2020</t>
        </is>
      </c>
      <c r="B59" s="53" t="inlineStr">
        <is>
          <t>BPA Diluido (Diluted EPS)</t>
        </is>
      </c>
      <c r="C59" s="72" t="inlineStr">
        <is>
          <t>$9.62</t>
        </is>
      </c>
      <c r="D59" s="72" t="inlineStr">
        <is>
          <t>$1.60</t>
        </is>
      </c>
      <c r="E59" s="72" t="inlineStr">
        <is>
          <t>-</t>
        </is>
      </c>
      <c r="F59" s="119" t="inlineStr">
        <is>
          <t>✅ 100% MATCH</t>
        </is>
      </c>
      <c r="G59" s="53" t="inlineStr">
        <is>
          <t xml:space="preserve">As-Reported coincide con SEC Facts ($9.62). </t>
        </is>
      </c>
    </row>
    <row r="60" ht="18.5" customHeight="1">
      <c r="A60" s="52" t="inlineStr">
        <is>
          <t>FY2020</t>
        </is>
      </c>
      <c r="B60" s="53" t="inlineStr">
        <is>
          <t>Acciones Diluidas</t>
        </is>
      </c>
      <c r="C60" s="72" t="inlineStr">
        <is>
          <t>28.69M</t>
        </is>
      </c>
      <c r="D60" s="72" t="inlineStr">
        <is>
          <t>172.16M</t>
        </is>
      </c>
      <c r="E60" s="72" t="inlineStr">
        <is>
          <t>-</t>
        </is>
      </c>
      <c r="F60" s="119" t="inlineStr">
        <is>
          <t>🔄 RECONCILIADO</t>
        </is>
      </c>
      <c r="G60" s="53" t="inlineStr">
        <is>
          <t>Acciones normalizadas por split 6:1 (As-Reported: 28.69M -&gt; Ajustado: 172.16M).</t>
        </is>
      </c>
    </row>
    <row r="61" ht="18.5" customHeight="1">
      <c r="A61" s="52" t="inlineStr">
        <is>
          <t>FY2019</t>
        </is>
      </c>
      <c r="B61" s="53" t="inlineStr">
        <is>
          <t>Ingresos Totales (Revenue)</t>
        </is>
      </c>
      <c r="C61" s="72" t="inlineStr">
        <is>
          <t>$2,020.4M</t>
        </is>
      </c>
      <c r="D61" s="72" t="inlineStr">
        <is>
          <t>-</t>
        </is>
      </c>
      <c r="E61" s="72" t="inlineStr">
        <is>
          <t>-</t>
        </is>
      </c>
      <c r="F61" s="119" t="inlineStr">
        <is>
          <t>✅ 100% MATCH</t>
        </is>
      </c>
      <c r="G61" s="53" t="inlineStr">
        <is>
          <t xml:space="preserve">Coincidencia 100% con SEC Company Facts (0.000% var). </t>
        </is>
      </c>
    </row>
    <row r="62" ht="18.5" customHeight="1">
      <c r="A62" s="52" t="inlineStr">
        <is>
          <t>FY2019</t>
        </is>
      </c>
      <c r="B62" s="53" t="inlineStr">
        <is>
          <t>Beneficio Neto (Net Income)</t>
        </is>
      </c>
      <c r="C62" s="72" t="inlineStr">
        <is>
          <t>$264.3M</t>
        </is>
      </c>
      <c r="D62" s="72" t="inlineStr">
        <is>
          <t>-</t>
        </is>
      </c>
      <c r="E62" s="72" t="inlineStr">
        <is>
          <t>-</t>
        </is>
      </c>
      <c r="F62" s="119" t="inlineStr">
        <is>
          <t>✅ 100% MATCH</t>
        </is>
      </c>
      <c r="G62" s="53" t="inlineStr">
        <is>
          <t xml:space="preserve">Coincidencia 100% con SEC Company Facts (0.000% var). </t>
        </is>
      </c>
    </row>
    <row r="63" ht="18.5" customHeight="1">
      <c r="A63" s="52" t="inlineStr">
        <is>
          <t>FY2019</t>
        </is>
      </c>
      <c r="B63" s="53" t="inlineStr">
        <is>
          <t>Flujo de Caja Operativo (CFO)</t>
        </is>
      </c>
      <c r="C63" s="72" t="inlineStr">
        <is>
          <t>$359.5M</t>
        </is>
      </c>
      <c r="D63" s="72" t="inlineStr">
        <is>
          <t>-</t>
        </is>
      </c>
      <c r="E63" s="72" t="inlineStr">
        <is>
          <t>-</t>
        </is>
      </c>
      <c r="F63" s="119" t="inlineStr">
        <is>
          <t>✅ 100% MATCH</t>
        </is>
      </c>
      <c r="G63" s="53" t="inlineStr">
        <is>
          <t xml:space="preserve">Coincidencia 100% con SEC Company Facts (0.000% var). </t>
        </is>
      </c>
    </row>
    <row r="64" ht="18.5" customHeight="1">
      <c r="A64" s="52" t="inlineStr">
        <is>
          <t>FY2019</t>
        </is>
      </c>
      <c r="B64" s="53" t="inlineStr">
        <is>
          <t>Inversión en CapEx</t>
        </is>
      </c>
      <c r="C64" s="72" t="inlineStr">
        <is>
          <t>$29.1M</t>
        </is>
      </c>
      <c r="D64" s="72" t="inlineStr">
        <is>
          <t>-</t>
        </is>
      </c>
      <c r="E64" s="72" t="inlineStr">
        <is>
          <t>-</t>
        </is>
      </c>
      <c r="F64" s="119" t="inlineStr">
        <is>
          <t>✅ 100% MATCH</t>
        </is>
      </c>
      <c r="G64" s="53" t="inlineStr">
        <is>
          <t xml:space="preserve">Coincidencia 100% con SEC Company Facts (0.000% var). </t>
        </is>
      </c>
    </row>
    <row r="65" ht="18.5" customHeight="1">
      <c r="A65" s="52" t="inlineStr">
        <is>
          <t>FY2019</t>
        </is>
      </c>
      <c r="B65" s="53" t="inlineStr">
        <is>
          <t>Flujo de Caja Libre (FCF)</t>
        </is>
      </c>
      <c r="C65" s="72" t="inlineStr">
        <is>
          <t>$330.4M</t>
        </is>
      </c>
      <c r="D65" s="72" t="inlineStr">
        <is>
          <t>-</t>
        </is>
      </c>
      <c r="E65" s="72" t="inlineStr">
        <is>
          <t>-</t>
        </is>
      </c>
      <c r="F65" s="119" t="inlineStr">
        <is>
          <t>✅ 100% MATCH</t>
        </is>
      </c>
      <c r="G65" s="53" t="inlineStr">
        <is>
          <t xml:space="preserve">Coincidencia 100% con SEC Company Facts (0.000% var). </t>
        </is>
      </c>
    </row>
    <row r="66" ht="18.5" customHeight="1">
      <c r="A66" s="52" t="inlineStr">
        <is>
          <t>FY2019</t>
        </is>
      </c>
      <c r="B66" s="53" t="inlineStr">
        <is>
          <t>BPA Diluido (Diluted EPS)</t>
        </is>
      </c>
      <c r="C66" s="72" t="inlineStr">
        <is>
          <t>$8.84</t>
        </is>
      </c>
      <c r="D66" s="72" t="inlineStr">
        <is>
          <t>$1.47</t>
        </is>
      </c>
      <c r="E66" s="72" t="inlineStr">
        <is>
          <t>-</t>
        </is>
      </c>
      <c r="F66" s="119" t="inlineStr">
        <is>
          <t>✅ 100% MATCH</t>
        </is>
      </c>
      <c r="G66" s="53" t="inlineStr">
        <is>
          <t xml:space="preserve">As-Reported coincide con SEC Facts ($8.84). </t>
        </is>
      </c>
    </row>
    <row r="67" ht="18.5" customHeight="1">
      <c r="A67" s="52" t="inlineStr">
        <is>
          <t>FY2019</t>
        </is>
      </c>
      <c r="B67" s="53" t="inlineStr">
        <is>
          <t>Acciones Diluidas</t>
        </is>
      </c>
      <c r="C67" s="72" t="inlineStr">
        <is>
          <t>29.9M</t>
        </is>
      </c>
      <c r="D67" s="72" t="inlineStr">
        <is>
          <t>179.42M</t>
        </is>
      </c>
      <c r="E67" s="72" t="inlineStr">
        <is>
          <t>-</t>
        </is>
      </c>
      <c r="F67" s="119" t="inlineStr">
        <is>
          <t>🔄 RECONCILIADO</t>
        </is>
      </c>
      <c r="G67" s="53" t="inlineStr">
        <is>
          <t>Acciones normalizadas por split 6:1 (As-Reported: 29.9M -&gt; Ajustado: 179.42M).</t>
        </is>
      </c>
    </row>
    <row r="68" ht="18.5" customHeight="1">
      <c r="A68" s="52" t="inlineStr">
        <is>
          <t>FY2018</t>
        </is>
      </c>
      <c r="B68" s="53" t="inlineStr">
        <is>
          <t>Ingresos Totales (Revenue)</t>
        </is>
      </c>
      <c r="C68" s="72" t="inlineStr">
        <is>
          <t>$1,903.3M</t>
        </is>
      </c>
      <c r="D68" s="72" t="inlineStr">
        <is>
          <t>-</t>
        </is>
      </c>
      <c r="E68" s="72" t="inlineStr">
        <is>
          <t>-</t>
        </is>
      </c>
      <c r="F68" s="119" t="inlineStr">
        <is>
          <t>✅ 100% MATCH</t>
        </is>
      </c>
      <c r="G68" s="53" t="inlineStr">
        <is>
          <t>Cifras oficiales de la SEC y agregadores coinciden al 100%.</t>
        </is>
      </c>
    </row>
    <row r="69" ht="18.5" customHeight="1">
      <c r="A69" s="52" t="inlineStr">
        <is>
          <t>FY2018</t>
        </is>
      </c>
      <c r="B69" s="53" t="inlineStr">
        <is>
          <t>Beneficio Neto (Net Income)</t>
        </is>
      </c>
      <c r="C69" s="72" t="inlineStr">
        <is>
          <t>$114.4M</t>
        </is>
      </c>
      <c r="D69" s="72" t="inlineStr">
        <is>
          <t>-</t>
        </is>
      </c>
      <c r="E69" s="72" t="inlineStr">
        <is>
          <t>-</t>
        </is>
      </c>
      <c r="F69" s="119" t="inlineStr">
        <is>
          <t>✅ 100% MATCH</t>
        </is>
      </c>
      <c r="G69" s="53" t="inlineStr">
        <is>
          <t xml:space="preserve">Coincidencia 100% con SEC Company Facts (0.000% var). </t>
        </is>
      </c>
    </row>
    <row r="70" ht="18.5" customHeight="1">
      <c r="A70" s="52" t="inlineStr">
        <is>
          <t>FY2018</t>
        </is>
      </c>
      <c r="B70" s="53" t="inlineStr">
        <is>
          <t>Flujo de Caja Operativo (CFO)</t>
        </is>
      </c>
      <c r="C70" s="72" t="inlineStr">
        <is>
          <t>$327.4M</t>
        </is>
      </c>
      <c r="D70" s="72" t="inlineStr">
        <is>
          <t>-</t>
        </is>
      </c>
      <c r="E70" s="72" t="inlineStr">
        <is>
          <t>-</t>
        </is>
      </c>
      <c r="F70" s="119" t="inlineStr">
        <is>
          <t>✅ 100% MATCH</t>
        </is>
      </c>
      <c r="G70" s="53" t="inlineStr">
        <is>
          <t xml:space="preserve">Coincidencia 100% con SEC Company Facts (0.000% var). </t>
        </is>
      </c>
    </row>
    <row r="71" ht="18.5" customHeight="1">
      <c r="A71" s="52" t="inlineStr">
        <is>
          <t>FY2018</t>
        </is>
      </c>
      <c r="B71" s="53" t="inlineStr">
        <is>
          <t>Inversión en CapEx</t>
        </is>
      </c>
      <c r="C71" s="72" t="inlineStr">
        <is>
          <t>$34.8M</t>
        </is>
      </c>
      <c r="D71" s="72" t="inlineStr">
        <is>
          <t>-</t>
        </is>
      </c>
      <c r="E71" s="72" t="inlineStr">
        <is>
          <t>-</t>
        </is>
      </c>
      <c r="F71" s="119" t="inlineStr">
        <is>
          <t>✅ 100% MATCH</t>
        </is>
      </c>
      <c r="G71" s="53" t="inlineStr">
        <is>
          <t xml:space="preserve">Coincidencia 100% con SEC Company Facts (0.000% var). </t>
        </is>
      </c>
    </row>
    <row r="72" ht="18.5" customHeight="1">
      <c r="A72" s="52" t="inlineStr">
        <is>
          <t>FY2018</t>
        </is>
      </c>
      <c r="B72" s="53" t="inlineStr">
        <is>
          <t>Flujo de Caja Libre (FCF)</t>
        </is>
      </c>
      <c r="C72" s="72" t="inlineStr">
        <is>
          <t>$292.5M</t>
        </is>
      </c>
      <c r="D72" s="72" t="inlineStr">
        <is>
          <t>-</t>
        </is>
      </c>
      <c r="E72" s="72" t="inlineStr">
        <is>
          <t>-</t>
        </is>
      </c>
      <c r="F72" s="119" t="inlineStr">
        <is>
          <t>✅ 100% MATCH</t>
        </is>
      </c>
      <c r="G72" s="53" t="inlineStr">
        <is>
          <t xml:space="preserve">Coincidencia 100% con SEC Company Facts (0.000% var). </t>
        </is>
      </c>
    </row>
    <row r="73" ht="18.5" customHeight="1">
      <c r="A73" s="52" t="inlineStr">
        <is>
          <t>FY2018</t>
        </is>
      </c>
      <c r="B73" s="53" t="inlineStr">
        <is>
          <t>BPA Diluido (Diluted EPS)</t>
        </is>
      </c>
      <c r="C73" s="72" t="inlineStr">
        <is>
          <t>$3.58</t>
        </is>
      </c>
      <c r="D73" s="72" t="inlineStr">
        <is>
          <t>$0.60</t>
        </is>
      </c>
      <c r="E73" s="72" t="inlineStr">
        <is>
          <t>-</t>
        </is>
      </c>
      <c r="F73" s="119" t="inlineStr">
        <is>
          <t>✅ 100% MATCH</t>
        </is>
      </c>
      <c r="G73" s="53" t="inlineStr">
        <is>
          <t xml:space="preserve">As-Reported coincide con SEC Facts ($3.58). </t>
        </is>
      </c>
    </row>
    <row r="74" ht="18.5" customHeight="1">
      <c r="A74" s="52" t="inlineStr">
        <is>
          <t>FY2018</t>
        </is>
      </c>
      <c r="B74" s="53" t="inlineStr">
        <is>
          <t>Acciones Diluidas</t>
        </is>
      </c>
      <c r="C74" s="72" t="inlineStr">
        <is>
          <t>32.0M</t>
        </is>
      </c>
      <c r="D74" s="72" t="inlineStr">
        <is>
          <t>191.98M</t>
        </is>
      </c>
      <c r="E74" s="72" t="inlineStr">
        <is>
          <t>-</t>
        </is>
      </c>
      <c r="F74" s="119" t="inlineStr">
        <is>
          <t>🔄 RECONCILIADO</t>
        </is>
      </c>
      <c r="G74" s="53" t="inlineStr">
        <is>
          <t>Acciones normalizadas por split 6:1 (As-Reported: 32.0M -&gt; Ajustado: 191.98M).</t>
        </is>
      </c>
    </row>
    <row r="75" ht="18.5" customHeight="1">
      <c r="A75" s="52" t="inlineStr">
        <is>
          <t>FY2017</t>
        </is>
      </c>
      <c r="B75" s="53" t="inlineStr">
        <is>
          <t>Ingresos Totales (Revenue)</t>
        </is>
      </c>
      <c r="C75" s="72" t="inlineStr">
        <is>
          <t>$1,790.1M</t>
        </is>
      </c>
      <c r="D75" s="72" t="inlineStr">
        <is>
          <t>-</t>
        </is>
      </c>
      <c r="E75" s="72" t="inlineStr">
        <is>
          <t>-</t>
        </is>
      </c>
      <c r="F75" s="119" t="inlineStr">
        <is>
          <t>✅ 100% MATCH</t>
        </is>
      </c>
      <c r="G75" s="53" t="inlineStr">
        <is>
          <t>Cifras oficiales de la SEC y agregadores coinciden al 100%.</t>
        </is>
      </c>
    </row>
    <row r="76" ht="18.5" customHeight="1">
      <c r="A76" s="52" t="inlineStr">
        <is>
          <t>FY2017</t>
        </is>
      </c>
      <c r="B76" s="53" t="inlineStr">
        <is>
          <t>Beneficio Neto (Net Income)</t>
        </is>
      </c>
      <c r="C76" s="72" t="inlineStr">
        <is>
          <t>$-47.3M</t>
        </is>
      </c>
      <c r="D76" s="72" t="inlineStr">
        <is>
          <t>-</t>
        </is>
      </c>
      <c r="E76" s="72" t="inlineStr">
        <is>
          <t>-</t>
        </is>
      </c>
      <c r="F76" s="119" t="inlineStr">
        <is>
          <t>✅ 100% MATCH</t>
        </is>
      </c>
      <c r="G76" s="53" t="inlineStr">
        <is>
          <t>Cifras oficiales de la SEC y agregadores coinciden al 100%.</t>
        </is>
      </c>
    </row>
    <row r="77" ht="18.5" customHeight="1">
      <c r="A77" s="52" t="inlineStr">
        <is>
          <t>FY2017</t>
        </is>
      </c>
      <c r="B77" s="53" t="inlineStr">
        <is>
          <t>Flujo de Caja Operativo (CFO)</t>
        </is>
      </c>
      <c r="C77" s="72" t="inlineStr">
        <is>
          <t>$169.7M</t>
        </is>
      </c>
      <c r="D77" s="72" t="inlineStr">
        <is>
          <t>-</t>
        </is>
      </c>
      <c r="E77" s="72" t="inlineStr">
        <is>
          <t>-</t>
        </is>
      </c>
      <c r="F77" s="119" t="inlineStr">
        <is>
          <t>✅ 100% MATCH</t>
        </is>
      </c>
      <c r="G77" s="53" t="inlineStr">
        <is>
          <t>Cifras oficiales de la SEC y agregadores coinciden al 100%.</t>
        </is>
      </c>
    </row>
    <row r="78" ht="18.5" customHeight="1">
      <c r="A78" s="52" t="inlineStr">
        <is>
          <t>FY2017</t>
        </is>
      </c>
      <c r="B78" s="53" t="inlineStr">
        <is>
          <t>Inversión en CapEx</t>
        </is>
      </c>
      <c r="C78" s="72" t="inlineStr">
        <is>
          <t>$44.5M</t>
        </is>
      </c>
      <c r="D78" s="72" t="inlineStr">
        <is>
          <t>-</t>
        </is>
      </c>
      <c r="E78" s="72" t="inlineStr">
        <is>
          <t>-</t>
        </is>
      </c>
      <c r="F78" s="119" t="inlineStr">
        <is>
          <t>✅ 100% MATCH</t>
        </is>
      </c>
      <c r="G78" s="53" t="inlineStr">
        <is>
          <t xml:space="preserve">Coincidencia 100% con SEC Company Facts (0.000% var). </t>
        </is>
      </c>
    </row>
    <row r="79" ht="18.5" customHeight="1">
      <c r="A79" s="52" t="inlineStr">
        <is>
          <t>FY2017</t>
        </is>
      </c>
      <c r="B79" s="53" t="inlineStr">
        <is>
          <t>Flujo de Caja Libre (FCF)</t>
        </is>
      </c>
      <c r="C79" s="72" t="inlineStr">
        <is>
          <t>$125.2M</t>
        </is>
      </c>
      <c r="D79" s="72" t="inlineStr">
        <is>
          <t>-</t>
        </is>
      </c>
      <c r="E79" s="72" t="inlineStr">
        <is>
          <t>-</t>
        </is>
      </c>
      <c r="F79" s="119" t="inlineStr">
        <is>
          <t>✅ 100% MATCH</t>
        </is>
      </c>
      <c r="G79" s="53" t="inlineStr">
        <is>
          <t>Cifras oficiales de la SEC y agregadores coinciden al 100%.</t>
        </is>
      </c>
    </row>
    <row r="80" ht="18.5" customHeight="1">
      <c r="A80" s="52" t="inlineStr">
        <is>
          <t>FY2017</t>
        </is>
      </c>
      <c r="B80" s="53" t="inlineStr">
        <is>
          <t>BPA Diluido (Diluted EPS)</t>
        </is>
      </c>
      <c r="C80" s="72" t="inlineStr">
        <is>
          <t>$0.18</t>
        </is>
      </c>
      <c r="D80" s="72" t="inlineStr">
        <is>
          <t>$-0.24</t>
        </is>
      </c>
      <c r="E80" s="72" t="inlineStr">
        <is>
          <t>-</t>
        </is>
      </c>
      <c r="F80" s="119" t="inlineStr">
        <is>
          <t>✅ 100% MATCH</t>
        </is>
      </c>
      <c r="G80" s="53" t="inlineStr">
        <is>
          <t xml:space="preserve">As-Reported coincide con SEC Facts ($0.18). </t>
        </is>
      </c>
    </row>
    <row r="81" ht="18.5" customHeight="1">
      <c r="A81" s="52" t="inlineStr">
        <is>
          <t>FY2017</t>
        </is>
      </c>
      <c r="B81" s="53" t="inlineStr">
        <is>
          <t>Acciones Diluidas</t>
        </is>
      </c>
      <c r="C81" s="72" t="inlineStr">
        <is>
          <t>32.35M</t>
        </is>
      </c>
      <c r="D81" s="72" t="inlineStr">
        <is>
          <t>194.13M</t>
        </is>
      </c>
      <c r="E81" s="72" t="inlineStr">
        <is>
          <t>-</t>
        </is>
      </c>
      <c r="F81" s="119" t="inlineStr">
        <is>
          <t>🔄 RECONCILIADO</t>
        </is>
      </c>
      <c r="G81" s="53" t="inlineStr">
        <is>
          <t>Acciones normalizadas por split 6:1 (As-Reported: 32.35M -&gt; Ajustado: 194.13M).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2026-09-10T23:27:46Z</dcterms:created>
  <dcterms:modified xmlns:dcterms="http://purl.org/dc/terms/" xmlns:xsi="http://www.w3.org/2001/XMLSchema-instance" xsi:type="dcterms:W3CDTF">2026-09-19T19:56:23Z</dcterms:modified>
</cp:coreProperties>
</file>